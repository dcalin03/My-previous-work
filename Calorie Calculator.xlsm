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Excel Portofolio\"/>
    </mc:Choice>
  </mc:AlternateContent>
  <xr:revisionPtr revIDLastSave="0" documentId="13_ncr:1_{81AAA468-766C-41AD-84BD-8EDD9EDC9BC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alculator" sheetId="10" r:id="rId1"/>
    <sheet name="food database" sheetId="6" r:id="rId2"/>
    <sheet name="weight tracker" sheetId="11" r:id="rId3"/>
    <sheet name="instruction" sheetId="8" r:id="rId4"/>
    <sheet name="settings" sheetId="9" state="hidden" r:id="rId5"/>
  </sheets>
  <definedNames>
    <definedName name="_xlnm.Print_Area" localSheetId="0">calculator!$A$1:$Y$498</definedName>
    <definedName name="_xlnm.Print_Area" localSheetId="3">instruction!$A$1:$S$498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6" l="1"/>
  <c r="N41" i="6"/>
  <c r="I12" i="11"/>
  <c r="I20" i="11" s="1"/>
  <c r="I28" i="11" s="1"/>
  <c r="I36" i="11" s="1"/>
  <c r="I44" i="11" s="1"/>
  <c r="I52" i="11" s="1"/>
  <c r="I60" i="11" s="1"/>
  <c r="I68" i="11" s="1"/>
  <c r="I76" i="11" s="1"/>
  <c r="I84" i="11" s="1"/>
  <c r="I92" i="11" s="1"/>
  <c r="I100" i="11" s="1"/>
  <c r="I108" i="11" s="1"/>
  <c r="I13" i="11"/>
  <c r="I21" i="11" s="1"/>
  <c r="I29" i="11" s="1"/>
  <c r="I37" i="11" s="1"/>
  <c r="I45" i="11" s="1"/>
  <c r="I53" i="11" s="1"/>
  <c r="I61" i="11" s="1"/>
  <c r="I69" i="11" s="1"/>
  <c r="I77" i="11" s="1"/>
  <c r="I85" i="11" s="1"/>
  <c r="I93" i="11" s="1"/>
  <c r="I101" i="11" s="1"/>
  <c r="I109" i="11" s="1"/>
  <c r="I14" i="11"/>
  <c r="I22" i="11" s="1"/>
  <c r="I30" i="11" s="1"/>
  <c r="I38" i="11" s="1"/>
  <c r="I46" i="11" s="1"/>
  <c r="I54" i="11" s="1"/>
  <c r="I62" i="11" s="1"/>
  <c r="I70" i="11" s="1"/>
  <c r="I78" i="11" s="1"/>
  <c r="I86" i="11" s="1"/>
  <c r="I94" i="11" s="1"/>
  <c r="I102" i="11" s="1"/>
  <c r="I110" i="11" s="1"/>
  <c r="I15" i="11"/>
  <c r="I23" i="11" s="1"/>
  <c r="I31" i="11" s="1"/>
  <c r="I39" i="11" s="1"/>
  <c r="I47" i="11" s="1"/>
  <c r="I55" i="11" s="1"/>
  <c r="I63" i="11" s="1"/>
  <c r="I71" i="11" s="1"/>
  <c r="I79" i="11" s="1"/>
  <c r="I87" i="11" s="1"/>
  <c r="I95" i="11" s="1"/>
  <c r="I103" i="11" s="1"/>
  <c r="I111" i="11" s="1"/>
  <c r="I16" i="11"/>
  <c r="I24" i="11" s="1"/>
  <c r="I32" i="11" s="1"/>
  <c r="I40" i="11" s="1"/>
  <c r="I48" i="11" s="1"/>
  <c r="I56" i="11" s="1"/>
  <c r="I64" i="11" s="1"/>
  <c r="I72" i="11" s="1"/>
  <c r="I80" i="11" s="1"/>
  <c r="I88" i="11" s="1"/>
  <c r="I96" i="11" s="1"/>
  <c r="I104" i="11" s="1"/>
  <c r="I112" i="11" s="1"/>
  <c r="I17" i="11"/>
  <c r="I25" i="11" s="1"/>
  <c r="I33" i="11" s="1"/>
  <c r="I41" i="11" s="1"/>
  <c r="I49" i="11" s="1"/>
  <c r="I57" i="11" s="1"/>
  <c r="I65" i="11" s="1"/>
  <c r="I73" i="11" s="1"/>
  <c r="I81" i="11" s="1"/>
  <c r="I89" i="11" s="1"/>
  <c r="I97" i="11" s="1"/>
  <c r="I105" i="11" s="1"/>
  <c r="I113" i="11" s="1"/>
  <c r="I11" i="11"/>
  <c r="I19" i="11" s="1"/>
  <c r="I27" i="11" s="1"/>
  <c r="I35" i="11" s="1"/>
  <c r="I43" i="11" s="1"/>
  <c r="I51" i="11" s="1"/>
  <c r="I59" i="11" s="1"/>
  <c r="I67" i="11" s="1"/>
  <c r="I75" i="11" s="1"/>
  <c r="I83" i="11" s="1"/>
  <c r="I91" i="11" s="1"/>
  <c r="I99" i="11" s="1"/>
  <c r="I107" i="11" s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W14" i="10"/>
  <c r="W15" i="10"/>
  <c r="W16" i="10"/>
  <c r="W17" i="10"/>
  <c r="W13" i="10"/>
  <c r="V14" i="10"/>
  <c r="V15" i="10"/>
  <c r="V16" i="10"/>
  <c r="V17" i="10"/>
  <c r="V13" i="10"/>
  <c r="U14" i="10"/>
  <c r="U15" i="10"/>
  <c r="U16" i="10"/>
  <c r="U17" i="10"/>
  <c r="U13" i="10"/>
  <c r="P15" i="10"/>
  <c r="P16" i="10"/>
  <c r="P17" i="10"/>
  <c r="O15" i="10"/>
  <c r="O16" i="10"/>
  <c r="O17" i="10"/>
  <c r="N15" i="10"/>
  <c r="N16" i="10"/>
  <c r="N17" i="10"/>
  <c r="W4" i="10"/>
  <c r="W5" i="10"/>
  <c r="W6" i="10"/>
  <c r="W7" i="10"/>
  <c r="V4" i="10"/>
  <c r="V5" i="10"/>
  <c r="V6" i="10"/>
  <c r="V7" i="10"/>
  <c r="U5" i="10"/>
  <c r="U6" i="10"/>
  <c r="U7" i="10"/>
  <c r="U4" i="10"/>
  <c r="W3" i="10"/>
  <c r="V3" i="10"/>
  <c r="U3" i="10"/>
  <c r="P14" i="10"/>
  <c r="O14" i="10"/>
  <c r="N14" i="10"/>
  <c r="P13" i="10"/>
  <c r="O13" i="10"/>
  <c r="N13" i="10"/>
  <c r="W18" i="10"/>
  <c r="V18" i="10"/>
  <c r="U18" i="10"/>
  <c r="P18" i="10"/>
  <c r="O18" i="10"/>
  <c r="N18" i="10"/>
  <c r="P5" i="10"/>
  <c r="P6" i="10"/>
  <c r="P7" i="10"/>
  <c r="P4" i="10"/>
  <c r="P3" i="10"/>
  <c r="O4" i="10"/>
  <c r="O5" i="10"/>
  <c r="O6" i="10"/>
  <c r="O7" i="10"/>
  <c r="O3" i="10"/>
  <c r="N4" i="10"/>
  <c r="N5" i="10"/>
  <c r="N6" i="10"/>
  <c r="N7" i="10"/>
  <c r="N3" i="10"/>
  <c r="J2" i="10"/>
  <c r="J114" i="11"/>
  <c r="K114" i="11"/>
  <c r="J106" i="11"/>
  <c r="K106" i="11"/>
  <c r="J98" i="11"/>
  <c r="K98" i="11"/>
  <c r="X15" i="10" l="1"/>
  <c r="X5" i="10"/>
  <c r="X6" i="10"/>
  <c r="Q16" i="10"/>
  <c r="X17" i="10"/>
  <c r="X7" i="10"/>
  <c r="Q15" i="10"/>
  <c r="X4" i="10"/>
  <c r="Q14" i="10"/>
  <c r="Q17" i="10"/>
  <c r="X16" i="10"/>
  <c r="X13" i="10"/>
  <c r="X14" i="10"/>
  <c r="Q13" i="10"/>
  <c r="X3" i="10"/>
  <c r="Q7" i="10"/>
  <c r="P9" i="10"/>
  <c r="Q4" i="10"/>
  <c r="Q5" i="10"/>
  <c r="O9" i="10"/>
  <c r="Q6" i="10"/>
  <c r="Q3" i="10"/>
  <c r="U19" i="10"/>
  <c r="V19" i="10"/>
  <c r="W19" i="10"/>
  <c r="N9" i="10"/>
  <c r="N19" i="10"/>
  <c r="O19" i="10"/>
  <c r="P19" i="10"/>
  <c r="V9" i="10"/>
  <c r="U9" i="10"/>
  <c r="W9" i="10"/>
  <c r="J90" i="11"/>
  <c r="K90" i="11"/>
  <c r="J82" i="11"/>
  <c r="K82" i="11"/>
  <c r="J74" i="11"/>
  <c r="K74" i="11"/>
  <c r="J66" i="11"/>
  <c r="K66" i="11"/>
  <c r="H11" i="11"/>
  <c r="H19" i="11" s="1"/>
  <c r="H27" i="11" s="1"/>
  <c r="H35" i="11" s="1"/>
  <c r="H43" i="11" s="1"/>
  <c r="H51" i="11" s="1"/>
  <c r="H59" i="11" s="1"/>
  <c r="H67" i="11" s="1"/>
  <c r="H75" i="11" s="1"/>
  <c r="H83" i="11" s="1"/>
  <c r="H91" i="11" s="1"/>
  <c r="H99" i="11" s="1"/>
  <c r="H107" i="11" s="1"/>
  <c r="J58" i="11"/>
  <c r="K58" i="11"/>
  <c r="J50" i="11"/>
  <c r="K50" i="11"/>
  <c r="K42" i="11"/>
  <c r="J42" i="11"/>
  <c r="K34" i="11"/>
  <c r="J34" i="11"/>
  <c r="K26" i="11"/>
  <c r="J26" i="11"/>
  <c r="K18" i="11"/>
  <c r="J18" i="11"/>
  <c r="K10" i="11"/>
  <c r="J10" i="11"/>
  <c r="E3" i="9"/>
  <c r="M3" i="9" s="1"/>
  <c r="M4" i="9" s="1"/>
  <c r="F3" i="9"/>
  <c r="I22" i="9"/>
  <c r="Q17" i="8" s="1"/>
  <c r="N17" i="8" s="1"/>
  <c r="F22" i="9"/>
  <c r="Q15" i="8" s="1"/>
  <c r="N15" i="8" s="1"/>
  <c r="H4" i="9"/>
  <c r="G3" i="9"/>
  <c r="N20" i="10" l="1"/>
  <c r="U20" i="10"/>
  <c r="U10" i="10"/>
  <c r="N10" i="10"/>
  <c r="H6" i="10"/>
  <c r="I6" i="10"/>
  <c r="O17" i="8"/>
  <c r="I2" i="10"/>
  <c r="G2" i="10"/>
  <c r="G6" i="10"/>
  <c r="G7" i="10" s="1"/>
  <c r="Q9" i="10"/>
  <c r="X19" i="10"/>
  <c r="X9" i="10"/>
  <c r="Q19" i="10"/>
  <c r="Q3" i="9"/>
  <c r="Q4" i="9" s="1"/>
  <c r="N3" i="9"/>
  <c r="N4" i="9" s="1"/>
  <c r="L3" i="9"/>
  <c r="L4" i="9" s="1"/>
  <c r="O3" i="9"/>
  <c r="O4" i="9" s="1"/>
  <c r="P3" i="9"/>
  <c r="P4" i="9" s="1"/>
  <c r="N16" i="8"/>
  <c r="I3" i="9"/>
  <c r="L8" i="9" s="1"/>
  <c r="L6" i="9"/>
  <c r="O15" i="8"/>
  <c r="J6" i="10" l="1"/>
  <c r="J7" i="10" s="1"/>
  <c r="I7" i="10"/>
  <c r="O16" i="8"/>
  <c r="H2" i="10"/>
  <c r="H7" i="10"/>
  <c r="S10" i="9"/>
  <c r="N6" i="9" s="1"/>
  <c r="K3" i="9"/>
  <c r="O12" i="9" s="1"/>
  <c r="O11" i="9" l="1"/>
  <c r="L10" i="9"/>
  <c r="O10" i="9"/>
  <c r="L11" i="9"/>
  <c r="L1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</author>
  </authors>
  <commentList>
    <comment ref="N8" authorId="0" shapeId="0" xr:uid="{E3065288-3C0C-4C4E-8F68-292A59C51DC8}">
      <text>
        <r>
          <rPr>
            <b/>
            <sz val="9"/>
            <color indexed="81"/>
            <rFont val="Tahoma"/>
            <family val="2"/>
          </rPr>
          <t>Manual entry</t>
        </r>
      </text>
    </comment>
    <comment ref="U8" authorId="0" shapeId="0" xr:uid="{627BC0D3-75A3-492D-8A23-00F647DD0C0B}">
      <text>
        <r>
          <rPr>
            <b/>
            <sz val="9"/>
            <color indexed="81"/>
            <rFont val="Tahoma"/>
            <family val="2"/>
          </rPr>
          <t>Manual entry</t>
        </r>
      </text>
    </comment>
    <comment ref="N18" authorId="0" shapeId="0" xr:uid="{C6CC0C74-46F4-4B1F-9987-46F147D799F3}">
      <text>
        <r>
          <rPr>
            <b/>
            <sz val="9"/>
            <color indexed="81"/>
            <rFont val="Tahoma"/>
            <family val="2"/>
          </rPr>
          <t>Manual entry</t>
        </r>
      </text>
    </comment>
    <comment ref="U18" authorId="0" shapeId="0" xr:uid="{EB2A39CC-92D7-4472-AA95-6D7B5CC1FFA5}">
      <text>
        <r>
          <rPr>
            <b/>
            <sz val="9"/>
            <color indexed="81"/>
            <rFont val="Tahoma"/>
            <family val="2"/>
          </rPr>
          <t>Manual entry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</author>
  </authors>
  <commentList>
    <comment ref="H3" authorId="0" shapeId="0" xr:uid="{F19C6597-25FC-465A-A02F-6A97A371156E}">
      <text>
        <r>
          <rPr>
            <b/>
            <sz val="9"/>
            <color indexed="81"/>
            <rFont val="Tahoma"/>
            <family val="2"/>
          </rPr>
          <t>Insert your age</t>
        </r>
      </text>
    </comment>
    <comment ref="H7" authorId="0" shapeId="0" xr:uid="{ECEC9235-1113-4A30-AC86-313784D30F5E}">
      <text>
        <r>
          <rPr>
            <b/>
            <sz val="9"/>
            <color indexed="81"/>
            <rFont val="Tahoma"/>
            <family val="2"/>
          </rPr>
          <t>Insert your height in centimeters</t>
        </r>
      </text>
    </comment>
    <comment ref="H9" authorId="0" shapeId="0" xr:uid="{12A5F53E-AB09-49D1-89C5-CB7F3D75C9B2}">
      <text>
        <r>
          <rPr>
            <b/>
            <sz val="9"/>
            <color indexed="81"/>
            <rFont val="Tahoma"/>
            <family val="2"/>
          </rPr>
          <t xml:space="preserve">Insert your weight in kilograms
</t>
        </r>
      </text>
    </comment>
    <comment ref="H11" authorId="0" shapeId="0" xr:uid="{32BCB076-4E84-42A7-8258-7CDA675F9A99}">
      <text>
        <r>
          <rPr>
            <b/>
            <sz val="9"/>
            <color indexed="81"/>
            <rFont val="Tahoma"/>
            <family val="2"/>
          </rPr>
          <t>Insert your wist circumference in centimeters (optional)</t>
        </r>
      </text>
    </comment>
    <comment ref="H13" authorId="0" shapeId="0" xr:uid="{46BFAD1A-22D6-4B60-B517-16E7C4924C1C}">
      <text>
        <r>
          <rPr>
            <b/>
            <sz val="9"/>
            <color indexed="81"/>
            <rFont val="Tahoma"/>
            <family val="2"/>
          </rPr>
          <t>Select the appropriate activity level</t>
        </r>
      </text>
    </comment>
    <comment ref="N13" authorId="0" shapeId="0" xr:uid="{B0A81157-EE62-456B-A76F-8FEA620CE226}">
      <text>
        <r>
          <rPr>
            <b/>
            <sz val="9"/>
            <color indexed="81"/>
            <rFont val="Tahoma"/>
            <family val="2"/>
          </rPr>
          <t>Insert the desired kcal intake</t>
        </r>
      </text>
    </comment>
  </commentList>
</comments>
</file>

<file path=xl/sharedStrings.xml><?xml version="1.0" encoding="utf-8"?>
<sst xmlns="http://schemas.openxmlformats.org/spreadsheetml/2006/main" count="355" uniqueCount="162">
  <si>
    <t>Weight</t>
  </si>
  <si>
    <t>Kcal</t>
  </si>
  <si>
    <t>P</t>
  </si>
  <si>
    <t>C</t>
  </si>
  <si>
    <t>F</t>
  </si>
  <si>
    <t>greek yoghurt 2%</t>
  </si>
  <si>
    <t>banana</t>
  </si>
  <si>
    <t>apple</t>
  </si>
  <si>
    <t>blueberry</t>
  </si>
  <si>
    <t>strawberry (frozen)</t>
  </si>
  <si>
    <t>cottage cheese 2%</t>
  </si>
  <si>
    <t>grape</t>
  </si>
  <si>
    <t>pepper</t>
  </si>
  <si>
    <t>rice (cooked)</t>
  </si>
  <si>
    <t>soy (textured)</t>
  </si>
  <si>
    <t>potato</t>
  </si>
  <si>
    <t>olive oil</t>
  </si>
  <si>
    <t>protein bar (decathlon)</t>
  </si>
  <si>
    <t>dairy</t>
  </si>
  <si>
    <t>fruit</t>
  </si>
  <si>
    <t>veggie</t>
  </si>
  <si>
    <t>starch</t>
  </si>
  <si>
    <t>supplements</t>
  </si>
  <si>
    <t>legumes</t>
  </si>
  <si>
    <t>hummus w/basil (mega-apetit)</t>
  </si>
  <si>
    <t>misc</t>
  </si>
  <si>
    <t>bread (white)</t>
  </si>
  <si>
    <t>orange</t>
  </si>
  <si>
    <t>peach</t>
  </si>
  <si>
    <t>potato (roasted)</t>
  </si>
  <si>
    <t>1 tbsp</t>
  </si>
  <si>
    <t>pasta (cooked)</t>
  </si>
  <si>
    <t>tomato</t>
  </si>
  <si>
    <t>mushroom (canned)</t>
  </si>
  <si>
    <t>zuchinni</t>
  </si>
  <si>
    <t>onion</t>
  </si>
  <si>
    <t>milk 1.5%</t>
  </si>
  <si>
    <t>quark 0.2% (milbona)</t>
  </si>
  <si>
    <t>eggplant (cooked)</t>
  </si>
  <si>
    <t>cucumber (pickled)</t>
  </si>
  <si>
    <t>parmesan cheese</t>
  </si>
  <si>
    <t>mashed beans (olympia)</t>
  </si>
  <si>
    <t>baked pepper salad (chef select)</t>
  </si>
  <si>
    <t>watermelon</t>
  </si>
  <si>
    <t>hummus w/pepper (mega-apetit)</t>
  </si>
  <si>
    <t>bulgur (cooked)</t>
  </si>
  <si>
    <t>1 piece</t>
  </si>
  <si>
    <t>almond milk 1.1%</t>
  </si>
  <si>
    <t>100 g</t>
  </si>
  <si>
    <t>tofu (smoked -inedit)</t>
  </si>
  <si>
    <t>glenn sauce</t>
  </si>
  <si>
    <t>kCal</t>
  </si>
  <si>
    <t>rice cake</t>
  </si>
  <si>
    <t>oatmeal</t>
  </si>
  <si>
    <t>rice cake w/ chocolate</t>
  </si>
  <si>
    <t>pasta sauce (barilla)</t>
  </si>
  <si>
    <t>buttermilk 0.9%</t>
  </si>
  <si>
    <t xml:space="preserve">cheese 25% (hochland) </t>
  </si>
  <si>
    <t>Consumed</t>
  </si>
  <si>
    <t>Left</t>
  </si>
  <si>
    <t>Date</t>
  </si>
  <si>
    <t>Week</t>
  </si>
  <si>
    <t>chocolate (generic)</t>
  </si>
  <si>
    <t>egg white</t>
  </si>
  <si>
    <t>pepper salad w/garlic (mega apetit)</t>
  </si>
  <si>
    <t>red beans (canned)</t>
  </si>
  <si>
    <t>pizza bruschetta (LIDL)</t>
  </si>
  <si>
    <t>nutella</t>
  </si>
  <si>
    <t>Breakfast</t>
  </si>
  <si>
    <t>Lunch</t>
  </si>
  <si>
    <t>Snack</t>
  </si>
  <si>
    <t>Dinner</t>
  </si>
  <si>
    <t>polenta</t>
  </si>
  <si>
    <t>instant soup (rollton)</t>
  </si>
  <si>
    <t>whey complex (impact diet whey)</t>
  </si>
  <si>
    <t>nuts/oils</t>
  </si>
  <si>
    <t>popcorn (chio)</t>
  </si>
  <si>
    <t xml:space="preserve">cucumber </t>
  </si>
  <si>
    <t>Category</t>
  </si>
  <si>
    <t>Protein</t>
  </si>
  <si>
    <t>Fat</t>
  </si>
  <si>
    <t>Carbohydrate</t>
  </si>
  <si>
    <t>Measurement unit</t>
  </si>
  <si>
    <t>Energy value (kcal)</t>
  </si>
  <si>
    <t>Item name</t>
  </si>
  <si>
    <t>falafel (generic)</t>
  </si>
  <si>
    <t>lentil soup (generic)</t>
  </si>
  <si>
    <t>chickpeas (canned)</t>
  </si>
  <si>
    <t>ketchup (generic)</t>
  </si>
  <si>
    <t>mayo (generic)</t>
  </si>
  <si>
    <t>egg</t>
  </si>
  <si>
    <t>humus (mega-apetit)</t>
  </si>
  <si>
    <t>guacamole (home-made)</t>
  </si>
  <si>
    <t>rice crisps (LIDL)</t>
  </si>
  <si>
    <t>peanuts</t>
  </si>
  <si>
    <t>green olives</t>
  </si>
  <si>
    <t>soy</t>
  </si>
  <si>
    <t>cereal (chocapic)</t>
  </si>
  <si>
    <t>wrap (generic)</t>
  </si>
  <si>
    <t>30 g</t>
  </si>
  <si>
    <t>whey isolate (generic)</t>
  </si>
  <si>
    <t>INSTRUCTION</t>
  </si>
  <si>
    <t>WEIGHT TRACKER</t>
  </si>
  <si>
    <t>FOOD DATABASE</t>
  </si>
  <si>
    <t>Age</t>
  </si>
  <si>
    <t>Gender</t>
  </si>
  <si>
    <t>Height</t>
  </si>
  <si>
    <t>Activity</t>
  </si>
  <si>
    <t>Basal metabolic rate</t>
  </si>
  <si>
    <t>Sedentary: little to no exercise</t>
  </si>
  <si>
    <t>Moderate: exercise 3-4 times/week</t>
  </si>
  <si>
    <t>Active: daily exercise/intense exercise 3-4/week</t>
  </si>
  <si>
    <t>Coefficient</t>
  </si>
  <si>
    <t>BMR Formula</t>
  </si>
  <si>
    <t>Maintenance intake</t>
  </si>
  <si>
    <t>Mild weight loss</t>
  </si>
  <si>
    <t>Weight loss</t>
  </si>
  <si>
    <t>Mild weight gain</t>
  </si>
  <si>
    <t>Weight gain</t>
  </si>
  <si>
    <t>Mild deficit</t>
  </si>
  <si>
    <t>Deficit</t>
  </si>
  <si>
    <t>Surplus</t>
  </si>
  <si>
    <t>Mild Surplus</t>
  </si>
  <si>
    <t>Aggressive Deficit</t>
  </si>
  <si>
    <t>Aggressive Surplus</t>
  </si>
  <si>
    <t>Aggressive weight loss</t>
  </si>
  <si>
    <t>Aggressive weight gain</t>
  </si>
  <si>
    <t>Light: exercise 1-3 times/week</t>
  </si>
  <si>
    <t>Maintenance</t>
  </si>
  <si>
    <t>BMI</t>
  </si>
  <si>
    <t>Status</t>
  </si>
  <si>
    <t>40+</t>
  </si>
  <si>
    <t>Underweight</t>
  </si>
  <si>
    <t>Normal weight</t>
  </si>
  <si>
    <t>Obesity class 1</t>
  </si>
  <si>
    <t>Obesity class 2</t>
  </si>
  <si>
    <t>Obesity class 3</t>
  </si>
  <si>
    <t>Waist circumference [cm]</t>
  </si>
  <si>
    <t>Weight [kg]</t>
  </si>
  <si>
    <t>Height [cm]</t>
  </si>
  <si>
    <t>Carbohydrates</t>
  </si>
  <si>
    <t>Fats</t>
  </si>
  <si>
    <t>Overweight</t>
  </si>
  <si>
    <t>1.55….2.20 per kg bodyweight</t>
  </si>
  <si>
    <t>Ratio</t>
  </si>
  <si>
    <t>Daily kcal intake</t>
  </si>
  <si>
    <t>Max waist circumference</t>
  </si>
  <si>
    <t>0.65….0.9 per kg bodyweight</t>
  </si>
  <si>
    <t>Age [years]</t>
  </si>
  <si>
    <t>Activity level</t>
  </si>
  <si>
    <t>yes</t>
  </si>
  <si>
    <t>no</t>
  </si>
  <si>
    <t>AVG KCAL &amp; WEIGHT</t>
  </si>
  <si>
    <t>AVG Tracking, kCal &amp; Weight</t>
  </si>
  <si>
    <t>Target intake:</t>
  </si>
  <si>
    <t>Qty</t>
  </si>
  <si>
    <t>Recommended intake</t>
  </si>
  <si>
    <t>Actual intake</t>
  </si>
  <si>
    <t>CALCULATOR</t>
  </si>
  <si>
    <t>sausage (aivia)</t>
  </si>
  <si>
    <t>100g</t>
  </si>
  <si>
    <t>beans meal (mandy)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</si>
</sst>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"/>
    <numFmt numFmtId="165" formatCode="0.0"/>
    <numFmt numFmtId="166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8037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rgb="FF008037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EAD80"/>
        <bgColor indexed="64"/>
      </patternFill>
    </fill>
    <fill>
      <patternFill patternType="solid">
        <fgColor rgb="FF00803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8B4A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0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/>
    </xf>
    <xf numFmtId="0" fontId="0" fillId="6" borderId="0" xfId="0" applyFill="1"/>
    <xf numFmtId="0" fontId="1" fillId="8" borderId="0" xfId="0" applyFont="1" applyFill="1"/>
    <xf numFmtId="0" fontId="6" fillId="8" borderId="0" xfId="0" applyFont="1" applyFill="1"/>
    <xf numFmtId="0" fontId="7" fillId="8" borderId="0" xfId="0" applyFont="1" applyFill="1"/>
    <xf numFmtId="0" fontId="5" fillId="5" borderId="0" xfId="1" applyFont="1" applyFill="1" applyAlignment="1">
      <alignment vertical="center"/>
    </xf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8" borderId="8" xfId="0" applyFont="1" applyFill="1" applyBorder="1"/>
    <xf numFmtId="0" fontId="1" fillId="8" borderId="4" xfId="0" applyFont="1" applyFill="1" applyBorder="1"/>
    <xf numFmtId="0" fontId="1" fillId="8" borderId="9" xfId="0" applyFont="1" applyFill="1" applyBorder="1"/>
    <xf numFmtId="0" fontId="1" fillId="8" borderId="5" xfId="0" applyFont="1" applyFill="1" applyBorder="1"/>
    <xf numFmtId="0" fontId="1" fillId="8" borderId="10" xfId="0" applyFont="1" applyFill="1" applyBorder="1"/>
    <xf numFmtId="164" fontId="1" fillId="8" borderId="0" xfId="0" applyNumberFormat="1" applyFont="1" applyFill="1"/>
    <xf numFmtId="0" fontId="1" fillId="5" borderId="0" xfId="0" applyFont="1" applyFill="1" applyAlignment="1">
      <alignment horizontal="right"/>
    </xf>
    <xf numFmtId="0" fontId="1" fillId="8" borderId="11" xfId="0" applyFont="1" applyFill="1" applyBorder="1"/>
    <xf numFmtId="0" fontId="1" fillId="8" borderId="12" xfId="0" applyFont="1" applyFill="1" applyBorder="1"/>
    <xf numFmtId="0" fontId="1" fillId="8" borderId="13" xfId="0" applyFont="1" applyFill="1" applyBorder="1"/>
    <xf numFmtId="0" fontId="1" fillId="3" borderId="0" xfId="0" applyFont="1" applyFill="1"/>
    <xf numFmtId="0" fontId="9" fillId="7" borderId="14" xfId="0" applyFont="1" applyFill="1" applyBorder="1"/>
    <xf numFmtId="0" fontId="9" fillId="7" borderId="3" xfId="0" applyFont="1" applyFill="1" applyBorder="1"/>
    <xf numFmtId="0" fontId="1" fillId="7" borderId="14" xfId="0" applyFont="1" applyFill="1" applyBorder="1"/>
    <xf numFmtId="0" fontId="6" fillId="8" borderId="12" xfId="0" applyFont="1" applyFill="1" applyBorder="1"/>
    <xf numFmtId="165" fontId="1" fillId="8" borderId="0" xfId="0" applyNumberFormat="1" applyFont="1" applyFill="1"/>
    <xf numFmtId="1" fontId="1" fillId="8" borderId="0" xfId="0" applyNumberFormat="1" applyFont="1" applyFill="1"/>
    <xf numFmtId="0" fontId="10" fillId="8" borderId="0" xfId="0" applyFont="1" applyFill="1" applyAlignment="1">
      <alignment horizontal="right"/>
    </xf>
    <xf numFmtId="2" fontId="10" fillId="8" borderId="0" xfId="0" applyNumberFormat="1" applyFont="1" applyFill="1" applyAlignment="1">
      <alignment horizontal="right"/>
    </xf>
    <xf numFmtId="9" fontId="1" fillId="8" borderId="0" xfId="0" applyNumberFormat="1" applyFont="1" applyFill="1"/>
    <xf numFmtId="0" fontId="9" fillId="7" borderId="2" xfId="0" applyFont="1" applyFill="1" applyBorder="1" applyAlignment="1">
      <alignment horizontal="right" vertical="center"/>
    </xf>
    <xf numFmtId="0" fontId="9" fillId="7" borderId="2" xfId="0" applyFont="1" applyFill="1" applyBorder="1" applyAlignment="1">
      <alignment vertical="center"/>
    </xf>
    <xf numFmtId="165" fontId="9" fillId="10" borderId="2" xfId="0" applyNumberFormat="1" applyFont="1" applyFill="1" applyBorder="1" applyAlignment="1">
      <alignment vertical="center"/>
    </xf>
    <xf numFmtId="1" fontId="9" fillId="9" borderId="2" xfId="0" applyNumberFormat="1" applyFont="1" applyFill="1" applyBorder="1" applyAlignment="1">
      <alignment vertical="center"/>
    </xf>
    <xf numFmtId="1" fontId="9" fillId="6" borderId="2" xfId="0" applyNumberFormat="1" applyFont="1" applyFill="1" applyBorder="1" applyAlignment="1">
      <alignment vertical="center"/>
    </xf>
    <xf numFmtId="1" fontId="9" fillId="7" borderId="2" xfId="0" applyNumberFormat="1" applyFont="1" applyFill="1" applyBorder="1" applyAlignment="1">
      <alignment vertical="center"/>
    </xf>
    <xf numFmtId="1" fontId="9" fillId="10" borderId="2" xfId="0" applyNumberFormat="1" applyFont="1" applyFill="1" applyBorder="1" applyAlignment="1">
      <alignment horizontal="right" vertical="center"/>
    </xf>
    <xf numFmtId="2" fontId="1" fillId="8" borderId="0" xfId="0" applyNumberFormat="1" applyFont="1" applyFill="1" applyAlignment="1">
      <alignment horizontal="right"/>
    </xf>
    <xf numFmtId="1" fontId="9" fillId="11" borderId="2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wrapText="1"/>
    </xf>
    <xf numFmtId="0" fontId="10" fillId="4" borderId="0" xfId="0" applyFont="1" applyFill="1" applyAlignment="1">
      <alignment wrapText="1"/>
    </xf>
    <xf numFmtId="0" fontId="10" fillId="4" borderId="1" xfId="0" applyFont="1" applyFill="1" applyBorder="1" applyAlignment="1">
      <alignment vertical="center" wrapText="1"/>
    </xf>
    <xf numFmtId="0" fontId="10" fillId="4" borderId="1" xfId="0" applyFont="1" applyFill="1" applyBorder="1" applyAlignment="1">
      <alignment horizontal="right" wrapText="1"/>
    </xf>
    <xf numFmtId="14" fontId="10" fillId="4" borderId="1" xfId="0" applyNumberFormat="1" applyFont="1" applyFill="1" applyBorder="1" applyAlignment="1">
      <alignment wrapText="1"/>
    </xf>
    <xf numFmtId="14" fontId="10" fillId="4" borderId="0" xfId="0" applyNumberFormat="1" applyFont="1" applyFill="1" applyAlignment="1">
      <alignment wrapText="1"/>
    </xf>
    <xf numFmtId="0" fontId="5" fillId="5" borderId="0" xfId="1" applyFont="1" applyFill="1" applyAlignment="1">
      <alignment horizontal="right" vertical="center"/>
    </xf>
    <xf numFmtId="0" fontId="0" fillId="7" borderId="14" xfId="0" applyFill="1" applyBorder="1"/>
    <xf numFmtId="0" fontId="9" fillId="7" borderId="2" xfId="0" applyFont="1" applyFill="1" applyBorder="1"/>
    <xf numFmtId="166" fontId="0" fillId="4" borderId="0" xfId="0" applyNumberFormat="1" applyFill="1"/>
    <xf numFmtId="166" fontId="9" fillId="7" borderId="2" xfId="0" applyNumberFormat="1" applyFont="1" applyFill="1" applyBorder="1"/>
    <xf numFmtId="0" fontId="0" fillId="4" borderId="2" xfId="0" applyFill="1" applyBorder="1"/>
    <xf numFmtId="166" fontId="0" fillId="4" borderId="2" xfId="0" applyNumberFormat="1" applyFill="1" applyBorder="1"/>
    <xf numFmtId="0" fontId="9" fillId="5" borderId="15" xfId="0" applyFont="1" applyFill="1" applyBorder="1" applyAlignment="1">
      <alignment vertical="center"/>
    </xf>
    <xf numFmtId="1" fontId="9" fillId="10" borderId="2" xfId="0" applyNumberFormat="1" applyFont="1" applyFill="1" applyBorder="1"/>
    <xf numFmtId="166" fontId="9" fillId="7" borderId="11" xfId="0" applyNumberFormat="1" applyFont="1" applyFill="1" applyBorder="1"/>
    <xf numFmtId="1" fontId="1" fillId="13" borderId="2" xfId="0" applyNumberFormat="1" applyFont="1" applyFill="1" applyBorder="1"/>
    <xf numFmtId="0" fontId="0" fillId="4" borderId="0" xfId="0" applyFill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166" fontId="1" fillId="4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8" borderId="3" xfId="0" applyNumberFormat="1" applyFont="1" applyFill="1" applyBorder="1"/>
    <xf numFmtId="1" fontId="12" fillId="8" borderId="0" xfId="0" applyNumberFormat="1" applyFont="1" applyFill="1" applyAlignment="1">
      <alignment horizontal="center" vertical="center"/>
    </xf>
    <xf numFmtId="0" fontId="5" fillId="5" borderId="0" xfId="1" applyFont="1" applyFill="1" applyAlignment="1">
      <alignment horizontal="right" vertical="center"/>
    </xf>
    <xf numFmtId="0" fontId="2" fillId="5" borderId="0" xfId="1" applyFont="1" applyFill="1" applyAlignment="1">
      <alignment horizontal="left" vertical="center"/>
    </xf>
    <xf numFmtId="164" fontId="0" fillId="4" borderId="8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4" fontId="0" fillId="4" borderId="12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/>
    </xf>
    <xf numFmtId="166" fontId="9" fillId="12" borderId="6" xfId="0" applyNumberFormat="1" applyFont="1" applyFill="1" applyBorder="1" applyAlignment="1">
      <alignment horizontal="center"/>
    </xf>
    <xf numFmtId="166" fontId="9" fillId="12" borderId="7" xfId="0" applyNumberFormat="1" applyFont="1" applyFill="1" applyBorder="1" applyAlignment="1">
      <alignment horizontal="center"/>
    </xf>
    <xf numFmtId="166" fontId="9" fillId="5" borderId="2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1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ill>
        <patternFill patternType="lightUp"/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border outline="0">
        <top style="medium">
          <color theme="0"/>
        </top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00B050"/>
      </font>
      <fill>
        <patternFill patternType="solid"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sz val="8"/>
        <color theme="0"/>
      </font>
      <border>
        <bottom style="thin">
          <color theme="6"/>
        </bottom>
        <vertical/>
        <horizontal/>
      </border>
    </dxf>
    <dxf>
      <font>
        <sz val="8"/>
        <color theme="1"/>
      </font>
      <fill>
        <patternFill>
          <bgColor theme="2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3 2" pivot="0" table="0" count="10" xr9:uid="{F8CC9C24-7F47-4116-8823-0867C7EEE576}">
      <tableStyleElement type="wholeTable" dxfId="20"/>
      <tableStyleElement type="headerRow" dxfId="19"/>
    </tableStyle>
  </tableStyles>
  <colors>
    <mruColors>
      <color rgb="FF5EAD80"/>
      <color rgb="FF78B4A0"/>
      <color rgb="FF008037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80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E7D-475B-BB2D-0FB525FA5BD1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7D-475B-BB2D-0FB525FA5BD1}"/>
              </c:ext>
            </c:extLst>
          </c:dPt>
          <c:cat>
            <c:strRef>
              <c:f>calculator!$F$6:$F$7</c:f>
              <c:strCache>
                <c:ptCount val="2"/>
                <c:pt idx="0">
                  <c:v>Consumed</c:v>
                </c:pt>
                <c:pt idx="1">
                  <c:v>Left</c:v>
                </c:pt>
              </c:strCache>
            </c:strRef>
          </c:cat>
          <c:val>
            <c:numRef>
              <c:f>calculator!$J$6:$J$7</c:f>
              <c:numCache>
                <c:formatCode>0</c:formatCode>
                <c:ptCount val="2"/>
                <c:pt idx="0">
                  <c:v>727.1</c:v>
                </c:pt>
                <c:pt idx="1">
                  <c:v>2022.9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D-475B-BB2D-0FB525FA5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F$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firstButton="1" fmlaLink="settings!$H$3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pin" dx="26" fmlaLink="settings!$H$22" max="6" min="1" page="10" val="6"/>
</file>

<file path=xl/ctrlProps/ctrlProp7.xml><?xml version="1.0" encoding="utf-8"?>
<formControlPr xmlns="http://schemas.microsoft.com/office/spreadsheetml/2009/9/main" objectType="Spin" dx="26" fmlaLink="settings!$E$22" max="14" min="1" page="1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</xdr:row>
          <xdr:rowOff>38100</xdr:rowOff>
        </xdr:from>
        <xdr:to>
          <xdr:col>5</xdr:col>
          <xdr:colOff>1120140</xdr:colOff>
          <xdr:row>4</xdr:row>
          <xdr:rowOff>0</xdr:rowOff>
        </xdr:to>
        <xdr:sp macro="" textlink="">
          <xdr:nvSpPr>
            <xdr:cNvPr id="10611" name="Option Button 371" hidden="1">
              <a:extLst>
                <a:ext uri="{63B3BB69-23CF-44E3-9099-C40C66FF867C}">
                  <a14:compatExt spid="_x0000_s10611"/>
                </a:ext>
                <a:ext uri="{FF2B5EF4-FFF2-40B4-BE49-F238E27FC236}">
                  <a16:creationId xmlns:a16="http://schemas.microsoft.com/office/drawing/2014/main" id="{00000000-0008-0000-0000-00007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AM-Training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1402080</xdr:colOff>
          <xdr:row>3</xdr:row>
          <xdr:rowOff>38100</xdr:rowOff>
        </xdr:from>
        <xdr:to>
          <xdr:col>7</xdr:col>
          <xdr:colOff>396240</xdr:colOff>
          <xdr:row>4</xdr:row>
          <xdr:rowOff>0</xdr:rowOff>
        </xdr:to>
        <xdr:sp macro="" textlink="">
          <xdr:nvSpPr>
            <xdr:cNvPr id="10617" name="Option Button 377" hidden="1">
              <a:extLst>
                <a:ext uri="{63B3BB69-23CF-44E3-9099-C40C66FF867C}">
                  <a14:compatExt spid="_x0000_s10617"/>
                </a:ext>
                <a:ext uri="{FF2B5EF4-FFF2-40B4-BE49-F238E27FC236}">
                  <a16:creationId xmlns:a16="http://schemas.microsoft.com/office/drawing/2014/main" id="{00000000-0008-0000-0000-00007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PM-training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3</xdr:row>
          <xdr:rowOff>30480</xdr:rowOff>
        </xdr:from>
        <xdr:to>
          <xdr:col>9</xdr:col>
          <xdr:colOff>563880</xdr:colOff>
          <xdr:row>4</xdr:row>
          <xdr:rowOff>7620</xdr:rowOff>
        </xdr:to>
        <xdr:sp macro="" textlink="">
          <xdr:nvSpPr>
            <xdr:cNvPr id="10667" name="Option Button 427" hidden="1">
              <a:extLst>
                <a:ext uri="{63B3BB69-23CF-44E3-9099-C40C66FF867C}">
                  <a14:compatExt spid="_x0000_s10667"/>
                </a:ext>
                <a:ext uri="{FF2B5EF4-FFF2-40B4-BE49-F238E27FC236}">
                  <a16:creationId xmlns:a16="http://schemas.microsoft.com/office/drawing/2014/main" id="{00000000-0008-0000-0000-0000A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Non-training day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8</xdr:row>
      <xdr:rowOff>0</xdr:rowOff>
    </xdr:from>
    <xdr:to>
      <xdr:col>10</xdr:col>
      <xdr:colOff>0</xdr:colOff>
      <xdr:row>20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</xdr:colOff>
      <xdr:row>4</xdr:row>
      <xdr:rowOff>15240</xdr:rowOff>
    </xdr:from>
    <xdr:to>
      <xdr:col>6</xdr:col>
      <xdr:colOff>9525</xdr:colOff>
      <xdr:row>6</xdr:row>
      <xdr:rowOff>236220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478405" y="1021080"/>
          <a:ext cx="1417320" cy="723900"/>
          <a:chOff x="2407921" y="480060"/>
          <a:chExt cx="1158240" cy="72390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529840" y="541020"/>
            <a:ext cx="922020" cy="617220"/>
          </a:xfrm>
          <a:prstGeom prst="roundRect">
            <a:avLst/>
          </a:prstGeom>
          <a:solidFill>
            <a:srgbClr val="5EAD80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sertnewitem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2407921" y="480060"/>
            <a:ext cx="1158240" cy="723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Insert</a:t>
            </a:r>
            <a:r>
              <a:rPr lang="en-US" sz="1400" baseline="0">
                <a:solidFill>
                  <a:schemeClr val="bg1"/>
                </a:solidFill>
              </a:rPr>
              <a:t> </a:t>
            </a:r>
          </a:p>
          <a:p>
            <a:pPr algn="ctr"/>
            <a:r>
              <a:rPr lang="en-US" sz="1400" baseline="0">
                <a:solidFill>
                  <a:schemeClr val="bg1"/>
                </a:solidFill>
              </a:rPr>
              <a:t>new item</a:t>
            </a:r>
            <a:endParaRPr lang="en-US" sz="14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13335</xdr:colOff>
      <xdr:row>9</xdr:row>
      <xdr:rowOff>49530</xdr:rowOff>
    </xdr:from>
    <xdr:to>
      <xdr:col>6</xdr:col>
      <xdr:colOff>13335</xdr:colOff>
      <xdr:row>12</xdr:row>
      <xdr:rowOff>19050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474595" y="2312670"/>
          <a:ext cx="1424940" cy="723900"/>
          <a:chOff x="2413740" y="495300"/>
          <a:chExt cx="1158240" cy="7239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529840" y="541020"/>
            <a:ext cx="922020" cy="617220"/>
          </a:xfrm>
          <a:prstGeom prst="roundRect">
            <a:avLst/>
          </a:prstGeom>
          <a:solidFill>
            <a:srgbClr val="C00000"/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deletelastitem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2413740" y="495300"/>
            <a:ext cx="1158240" cy="723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aseline="0">
                <a:solidFill>
                  <a:schemeClr val="bg1"/>
                </a:solidFill>
              </a:rPr>
              <a:t>Delete</a:t>
            </a:r>
          </a:p>
          <a:p>
            <a:pPr algn="ctr"/>
            <a:r>
              <a:rPr lang="en-US" sz="1400" baseline="0">
                <a:solidFill>
                  <a:schemeClr val="bg1"/>
                </a:solidFill>
              </a:rPr>
              <a:t>last item</a:t>
            </a:r>
            <a:endParaRPr lang="en-US" sz="14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24765</xdr:colOff>
      <xdr:row>14</xdr:row>
      <xdr:rowOff>83820</xdr:rowOff>
    </xdr:from>
    <xdr:to>
      <xdr:col>6</xdr:col>
      <xdr:colOff>1905</xdr:colOff>
      <xdr:row>17</xdr:row>
      <xdr:rowOff>53340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486025" y="3604260"/>
          <a:ext cx="1402080" cy="723900"/>
          <a:chOff x="2407920" y="487680"/>
          <a:chExt cx="1158240" cy="7239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2529840" y="541020"/>
            <a:ext cx="922020" cy="617220"/>
          </a:xfrm>
          <a:prstGeom prst="roundRect">
            <a:avLst/>
          </a:prstGeom>
          <a:solidFill>
            <a:schemeClr val="bg2">
              <a:lumMod val="75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_xludf.sort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2407920" y="487680"/>
            <a:ext cx="1158240" cy="723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aseline="0">
                <a:solidFill>
                  <a:schemeClr val="bg1"/>
                </a:solidFill>
              </a:rPr>
              <a:t>Sort</a:t>
            </a:r>
            <a:endParaRPr lang="en-US" sz="14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106680</xdr:rowOff>
    </xdr:from>
    <xdr:to>
      <xdr:col>5</xdr:col>
      <xdr:colOff>1409700</xdr:colOff>
      <xdr:row>7</xdr:row>
      <xdr:rowOff>76200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2453640" y="1112520"/>
          <a:ext cx="1417320" cy="723900"/>
          <a:chOff x="2407921" y="480060"/>
          <a:chExt cx="1158240" cy="7239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2529840" y="541020"/>
            <a:ext cx="922020" cy="617220"/>
          </a:xfrm>
          <a:prstGeom prst="roundRect">
            <a:avLst/>
          </a:prstGeom>
          <a:solidFill>
            <a:srgbClr val="5EAD80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jumptocurrentdate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2407921" y="480060"/>
            <a:ext cx="1158240" cy="723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Jump to </a:t>
            </a:r>
          </a:p>
          <a:p>
            <a:pPr algn="ctr"/>
            <a:r>
              <a:rPr lang="en-US" sz="1400">
                <a:solidFill>
                  <a:schemeClr val="bg1"/>
                </a:solidFill>
              </a:rPr>
              <a:t>current date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</xdr:colOff>
      <xdr:row>14</xdr:row>
      <xdr:rowOff>129540</xdr:rowOff>
    </xdr:from>
    <xdr:to>
      <xdr:col>6</xdr:col>
      <xdr:colOff>1249680</xdr:colOff>
      <xdr:row>16</xdr:row>
      <xdr:rowOff>53340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2644139" y="3649980"/>
          <a:ext cx="1188721" cy="426720"/>
          <a:chOff x="2590800" y="3200400"/>
          <a:chExt cx="1167480" cy="411480"/>
        </a:xfrm>
      </xdr:grpSpPr>
      <xdr:sp macro="[0]!calculat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2590800" y="3200400"/>
            <a:ext cx="1112520" cy="411480"/>
          </a:xfrm>
          <a:prstGeom prst="roundRect">
            <a:avLst/>
          </a:prstGeom>
          <a:solidFill>
            <a:srgbClr val="5EAD80"/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alculate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2661000" y="3208020"/>
            <a:ext cx="1097280" cy="403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0" i="0">
                <a:solidFill>
                  <a:schemeClr val="bg1"/>
                </a:solidFill>
              </a:rPr>
              <a:t>Calculate</a:t>
            </a:r>
          </a:p>
        </xdr:txBody>
      </xdr:sp>
      <xdr:pic macro="[0]!calculate">
        <xdr:nvPicPr>
          <xdr:cNvPr id="5" name="Graphic 4" descr="Play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329940" y="3215640"/>
            <a:ext cx="365760" cy="38862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228600</xdr:rowOff>
        </xdr:from>
        <xdr:to>
          <xdr:col>7</xdr:col>
          <xdr:colOff>792480</xdr:colOff>
          <xdr:row>5</xdr:row>
          <xdr:rowOff>91440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891540</xdr:colOff>
          <xdr:row>3</xdr:row>
          <xdr:rowOff>228600</xdr:rowOff>
        </xdr:from>
        <xdr:to>
          <xdr:col>7</xdr:col>
          <xdr:colOff>1623060</xdr:colOff>
          <xdr:row>5</xdr:row>
          <xdr:rowOff>91440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1470660</xdr:colOff>
      <xdr:row>14</xdr:row>
      <xdr:rowOff>129540</xdr:rowOff>
    </xdr:from>
    <xdr:to>
      <xdr:col>7</xdr:col>
      <xdr:colOff>746760</xdr:colOff>
      <xdr:row>16</xdr:row>
      <xdr:rowOff>53340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4053840" y="3649980"/>
          <a:ext cx="975360" cy="426720"/>
          <a:chOff x="3985260" y="3223260"/>
          <a:chExt cx="655320" cy="41148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3985260" y="3223260"/>
            <a:ext cx="655320" cy="411480"/>
          </a:xfrm>
          <a:prstGeom prst="roundRect">
            <a:avLst/>
          </a:prstGeom>
          <a:solidFill>
            <a:srgbClr val="C00000"/>
          </a:solidFill>
          <a:ln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_xludf.clear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4000500" y="3223260"/>
            <a:ext cx="624840" cy="403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0" i="0">
                <a:solidFill>
                  <a:schemeClr val="bg1"/>
                </a:solidFill>
              </a:rPr>
              <a:t>Clear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1211580</xdr:colOff>
          <xdr:row>15</xdr:row>
          <xdr:rowOff>243840</xdr:rowOff>
        </xdr:from>
        <xdr:to>
          <xdr:col>12</xdr:col>
          <xdr:colOff>1470660</xdr:colOff>
          <xdr:row>17</xdr:row>
          <xdr:rowOff>7620</xdr:rowOff>
        </xdr:to>
        <xdr:sp macro="" textlink="">
          <xdr:nvSpPr>
            <xdr:cNvPr id="6155" name="Spinner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1219200</xdr:colOff>
          <xdr:row>13</xdr:row>
          <xdr:rowOff>243840</xdr:rowOff>
        </xdr:from>
        <xdr:to>
          <xdr:col>12</xdr:col>
          <xdr:colOff>1470660</xdr:colOff>
          <xdr:row>14</xdr:row>
          <xdr:rowOff>251460</xdr:rowOff>
        </xdr:to>
        <xdr:sp macro="" textlink="">
          <xdr:nvSpPr>
            <xdr:cNvPr id="6170" name="Spinner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77D85F-13CB-4501-8BF8-025B5493DCC8}" name="food_database" displayName="food_database" ref="H2:N72" totalsRowShown="0" headerRowDxfId="16" dataDxfId="14" headerRowBorderDxfId="15" tableBorderDxfId="13">
  <autoFilter ref="H2:N72" xr:uid="{D977D85F-13CB-4501-8BF8-025B5493DCC8}"/>
  <sortState xmlns:xlrd2="http://schemas.microsoft.com/office/spreadsheetml/2017/richdata2" ref="H3:N72">
    <sortCondition ref="H3:H72"/>
    <sortCondition descending="1" ref="K3:K72"/>
    <sortCondition descending="1" ref="N3:N72"/>
  </sortState>
  <tableColumns count="7">
    <tableColumn id="2" xr3:uid="{1397E0BC-40FF-4FAB-B127-ED248189D2A3}" name="Category" dataDxfId="12"/>
    <tableColumn id="3" xr3:uid="{74E30F3F-C0EE-473A-8D20-89ABCD5E0246}" name="Item name" dataDxfId="11"/>
    <tableColumn id="4" xr3:uid="{4F99C733-CD00-4E1F-BEF8-6B35D9D5B18A}" name="Measurement unit" dataDxfId="10"/>
    <tableColumn id="5" xr3:uid="{79D81AFB-3834-4806-B690-2007009E7D20}" name="Protein" dataDxfId="9"/>
    <tableColumn id="6" xr3:uid="{A556A063-D3BB-4383-BC77-D1C6A2F2DFCE}" name="Carbohydrate" dataDxfId="8"/>
    <tableColumn id="7" xr3:uid="{89515278-AE5F-41CE-9970-570822F15D7E}" name="Fat" dataDxfId="7"/>
    <tableColumn id="8" xr3:uid="{65AB719F-31AA-4A79-BCB8-492309F598C8}" name="Energy value (kcal)" dataDxfId="6">
      <calculatedColumnFormula>4*food_database[[#This Row],[Protein]]+4*food_database[[#This Row],[Carbohydrate]]+food_database[[#This Row],[Fat]]*9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C22ED-5638-48D9-8763-08930956F5BC}">
  <sheetPr codeName="Sheet8"/>
  <dimension ref="B1:X498"/>
  <sheetViews>
    <sheetView tabSelected="1" zoomScaleNormal="100" workbookViewId="0"/>
  </sheetViews>
  <sheetFormatPr defaultRowHeight="19.95" customHeight="1" x14ac:dyDescent="0.3"/>
  <cols>
    <col min="1" max="1" width="1.77734375" style="2" customWidth="1"/>
    <col min="2" max="2" width="2.77734375" style="5" customWidth="1"/>
    <col min="3" max="4" width="14.77734375" style="1" customWidth="1"/>
    <col min="5" max="5" width="1.77734375" style="2" customWidth="1"/>
    <col min="6" max="6" width="21.6640625" style="2" bestFit="1" customWidth="1"/>
    <col min="7" max="9" width="7.77734375" style="2" customWidth="1"/>
    <col min="10" max="10" width="10.77734375" style="2" customWidth="1"/>
    <col min="11" max="11" width="1.77734375" style="2" customWidth="1"/>
    <col min="12" max="12" width="25.77734375" style="59" customWidth="1"/>
    <col min="13" max="13" width="4.33203125" style="59" bestFit="1" customWidth="1"/>
    <col min="14" max="17" width="5.77734375" style="59" customWidth="1"/>
    <col min="18" max="18" width="1.77734375" style="59" customWidth="1"/>
    <col min="19" max="19" width="25.77734375" style="59" customWidth="1"/>
    <col min="20" max="20" width="4.33203125" style="59" bestFit="1" customWidth="1"/>
    <col min="21" max="24" width="5.77734375" style="59" customWidth="1"/>
    <col min="25" max="25" width="1.77734375" style="2" customWidth="1"/>
    <col min="26" max="16384" width="8.88671875" style="2"/>
  </cols>
  <sheetData>
    <row r="1" spans="2:24" ht="19.95" customHeight="1" thickBot="1" x14ac:dyDescent="0.35">
      <c r="C1" s="3"/>
      <c r="D1" s="3"/>
    </row>
    <row r="2" spans="2:24" ht="19.95" customHeight="1" thickBot="1" x14ac:dyDescent="0.35">
      <c r="C2" s="3"/>
      <c r="D2" s="3"/>
      <c r="F2" s="52" t="s">
        <v>154</v>
      </c>
      <c r="G2" s="56" t="str">
        <f>instruction!$N$15 &amp; " " &amp;"P"</f>
        <v>184 P</v>
      </c>
      <c r="H2" s="56" t="str">
        <f>instruction!$N$16 &amp; " " &amp;"C"</f>
        <v>297 C</v>
      </c>
      <c r="I2" s="56" t="str">
        <f>instruction!$N$17 &amp; " " &amp;"F"</f>
        <v>92 F</v>
      </c>
      <c r="J2" s="56" t="str">
        <f>instruction!$N$13 &amp; " " &amp;"kCal"</f>
        <v>2750 kCal</v>
      </c>
      <c r="L2" s="60" t="s">
        <v>68</v>
      </c>
      <c r="M2" s="61" t="s">
        <v>155</v>
      </c>
      <c r="N2" s="61" t="s">
        <v>2</v>
      </c>
      <c r="O2" s="61" t="s">
        <v>3</v>
      </c>
      <c r="P2" s="61" t="s">
        <v>4</v>
      </c>
      <c r="Q2" s="61" t="s">
        <v>1</v>
      </c>
      <c r="S2" s="60" t="s">
        <v>69</v>
      </c>
      <c r="T2" s="61" t="s">
        <v>155</v>
      </c>
      <c r="U2" s="61" t="s">
        <v>2</v>
      </c>
      <c r="V2" s="61" t="s">
        <v>3</v>
      </c>
      <c r="W2" s="61" t="s">
        <v>4</v>
      </c>
      <c r="X2" s="61" t="s">
        <v>1</v>
      </c>
    </row>
    <row r="3" spans="2:24" ht="19.95" customHeight="1" x14ac:dyDescent="0.3">
      <c r="C3" s="71" t="s">
        <v>101</v>
      </c>
      <c r="D3" s="71"/>
      <c r="F3" s="73">
        <v>1</v>
      </c>
      <c r="G3" s="74"/>
      <c r="H3" s="74"/>
      <c r="I3" s="74"/>
      <c r="J3" s="75"/>
      <c r="L3" s="12"/>
      <c r="M3" s="63"/>
      <c r="N3" s="62" t="str">
        <f>IFERROR($M3*VLOOKUP($L3,'food database'!$I:$N,3,0),"")</f>
        <v/>
      </c>
      <c r="O3" s="62" t="str">
        <f>IFERROR($M3*VLOOKUP($L3,'food database'!$I:$N,4,0),"")</f>
        <v/>
      </c>
      <c r="P3" s="62" t="str">
        <f>IFERROR($M3*VLOOKUP($L3,'food database'!$I:$N,5,0),"")</f>
        <v/>
      </c>
      <c r="Q3" s="64" t="str">
        <f>IFERROR(4*N3+4*O3+9*P3,"")</f>
        <v/>
      </c>
      <c r="S3" s="12" t="s">
        <v>159</v>
      </c>
      <c r="T3" s="63">
        <v>2</v>
      </c>
      <c r="U3" s="62">
        <f>IFERROR($T3*VLOOKUP($S3,'food database'!$I:$N,3,0),"")</f>
        <v>34</v>
      </c>
      <c r="V3" s="62">
        <f>IFERROR($T3*VLOOKUP($S3,'food database'!$I:$N,4,0),"")</f>
        <v>10.6</v>
      </c>
      <c r="W3" s="62">
        <f>IFERROR($T3*VLOOKUP($S3,'food database'!$I:$N,5,0),"")</f>
        <v>7.4</v>
      </c>
      <c r="X3" s="64">
        <f>IFERROR(4*U3+4*V3+9*W3,"")</f>
        <v>245</v>
      </c>
    </row>
    <row r="4" spans="2:24" ht="19.95" customHeight="1" x14ac:dyDescent="0.3">
      <c r="C4" s="71"/>
      <c r="D4" s="71"/>
      <c r="F4" s="76"/>
      <c r="G4" s="77"/>
      <c r="H4" s="77"/>
      <c r="I4" s="77"/>
      <c r="J4" s="78"/>
      <c r="L4" s="62"/>
      <c r="M4" s="63"/>
      <c r="N4" s="62" t="str">
        <f>IFERROR($M4*VLOOKUP($L4,'food database'!$I:$N,3,0),"")</f>
        <v/>
      </c>
      <c r="O4" s="62" t="str">
        <f>IFERROR($M4*VLOOKUP($L4,'food database'!$I:$N,4,0),"")</f>
        <v/>
      </c>
      <c r="P4" s="62" t="str">
        <f>IFERROR($M4*VLOOKUP($L4,'food database'!$I:$N,5,0),"")</f>
        <v/>
      </c>
      <c r="Q4" s="64" t="str">
        <f>IFERROR(4*N4+4*O4+9*P4,"")</f>
        <v/>
      </c>
      <c r="S4" s="12" t="s">
        <v>161</v>
      </c>
      <c r="T4" s="63">
        <v>3</v>
      </c>
      <c r="U4" s="62">
        <f>IFERROR($T4*VLOOKUP($S4,'food database'!$I:$N,3,0),"")</f>
        <v>12.899999999999999</v>
      </c>
      <c r="V4" s="62">
        <f>IFERROR($T4*VLOOKUP($S4,'food database'!$I:$N,4,0),"")</f>
        <v>42</v>
      </c>
      <c r="W4" s="62">
        <f>IFERROR($T4*VLOOKUP($S4,'food database'!$I:$N,5,0),"")</f>
        <v>2.7</v>
      </c>
      <c r="X4" s="64">
        <f t="shared" ref="X4:X7" si="0">IFERROR(4*U4+4*V4+9*W4,"")</f>
        <v>243.9</v>
      </c>
    </row>
    <row r="5" spans="2:24" ht="19.95" customHeight="1" thickBot="1" x14ac:dyDescent="0.35">
      <c r="C5" s="71"/>
      <c r="D5" s="71"/>
      <c r="F5" s="79"/>
      <c r="G5" s="80"/>
      <c r="H5" s="80"/>
      <c r="I5" s="80"/>
      <c r="J5" s="81"/>
      <c r="L5" s="65"/>
      <c r="M5" s="63"/>
      <c r="N5" s="62" t="str">
        <f>IFERROR($M5*VLOOKUP($L5,'food database'!$I:$N,3,0),"")</f>
        <v/>
      </c>
      <c r="O5" s="62" t="str">
        <f>IFERROR($M5*VLOOKUP($L5,'food database'!$I:$N,4,0),"")</f>
        <v/>
      </c>
      <c r="P5" s="62" t="str">
        <f>IFERROR($M5*VLOOKUP($L5,'food database'!$I:$N,5,0),"")</f>
        <v/>
      </c>
      <c r="Q5" s="64" t="str">
        <f t="shared" ref="Q5:Q7" si="1">IFERROR(4*N5+4*O5+9*P5,"")</f>
        <v/>
      </c>
      <c r="S5" s="62"/>
      <c r="T5" s="63"/>
      <c r="U5" s="62" t="str">
        <f>IFERROR($T5*VLOOKUP($S5,'food database'!$I:$N,3,0),"")</f>
        <v/>
      </c>
      <c r="V5" s="62" t="str">
        <f>IFERROR($T5*VLOOKUP($S5,'food database'!$I:$N,4,0),"")</f>
        <v/>
      </c>
      <c r="W5" s="62" t="str">
        <f>IFERROR($T5*VLOOKUP($S5,'food database'!$I:$N,5,0),"")</f>
        <v/>
      </c>
      <c r="X5" s="64" t="str">
        <f t="shared" si="0"/>
        <v/>
      </c>
    </row>
    <row r="6" spans="2:24" ht="19.95" customHeight="1" thickBot="1" x14ac:dyDescent="0.35">
      <c r="C6" s="4"/>
      <c r="D6" s="4"/>
      <c r="F6" s="57" t="s">
        <v>58</v>
      </c>
      <c r="G6" s="69">
        <f>N9+U9+N19+U19</f>
        <v>96.1</v>
      </c>
      <c r="H6" s="69">
        <f>O9+V9+O19+V19</f>
        <v>57.1</v>
      </c>
      <c r="I6" s="69">
        <f>P9+W9+P19+W19</f>
        <v>12.700000000000001</v>
      </c>
      <c r="J6" s="69">
        <f>Q9+X9+Q19+X19</f>
        <v>727.1</v>
      </c>
      <c r="L6" s="65"/>
      <c r="M6" s="63"/>
      <c r="N6" s="62" t="str">
        <f>IFERROR($M6*VLOOKUP($L6,'food database'!$I:$N,3,0),"")</f>
        <v/>
      </c>
      <c r="O6" s="62" t="str">
        <f>IFERROR($M6*VLOOKUP($L6,'food database'!$I:$N,4,0),"")</f>
        <v/>
      </c>
      <c r="P6" s="62" t="str">
        <f>IFERROR($M6*VLOOKUP($L6,'food database'!$I:$N,5,0),"")</f>
        <v/>
      </c>
      <c r="Q6" s="64" t="str">
        <f t="shared" si="1"/>
        <v/>
      </c>
      <c r="S6" s="62"/>
      <c r="T6" s="63"/>
      <c r="U6" s="62" t="str">
        <f>IFERROR($T6*VLOOKUP($S6,'food database'!$I:$N,3,0),"")</f>
        <v/>
      </c>
      <c r="V6" s="62" t="str">
        <f>IFERROR($T6*VLOOKUP($S6,'food database'!$I:$N,4,0),"")</f>
        <v/>
      </c>
      <c r="W6" s="62" t="str">
        <f>IFERROR($T6*VLOOKUP($S6,'food database'!$I:$N,5,0),"")</f>
        <v/>
      </c>
      <c r="X6" s="64" t="str">
        <f t="shared" si="0"/>
        <v/>
      </c>
    </row>
    <row r="7" spans="2:24" ht="19.95" customHeight="1" thickBot="1" x14ac:dyDescent="0.35">
      <c r="C7" s="4"/>
      <c r="D7" s="4"/>
      <c r="F7" s="57" t="s">
        <v>59</v>
      </c>
      <c r="G7" s="58">
        <f>instruction!N15-calculator!G6</f>
        <v>87.9</v>
      </c>
      <c r="H7" s="58">
        <f>instruction!N16-calculator!H6</f>
        <v>239.9</v>
      </c>
      <c r="I7" s="58">
        <f>instruction!N17-calculator!I6</f>
        <v>79.3</v>
      </c>
      <c r="J7" s="58">
        <f>instruction!N13-calculator!J6</f>
        <v>2022.9</v>
      </c>
      <c r="L7" s="62"/>
      <c r="M7" s="63"/>
      <c r="N7" s="62" t="str">
        <f>IFERROR($M7*VLOOKUP($L7,'food database'!$I:$N,3,0),"")</f>
        <v/>
      </c>
      <c r="O7" s="62" t="str">
        <f>IFERROR($M7*VLOOKUP($L7,'food database'!$I:$N,4,0),"")</f>
        <v/>
      </c>
      <c r="P7" s="62" t="str">
        <f>IFERROR($M7*VLOOKUP($L7,'food database'!$I:$N,5,0),"")</f>
        <v/>
      </c>
      <c r="Q7" s="64" t="str">
        <f t="shared" si="1"/>
        <v/>
      </c>
      <c r="S7" s="62"/>
      <c r="T7" s="63"/>
      <c r="U7" s="62" t="str">
        <f>IFERROR($T7*VLOOKUP($S7,'food database'!$I:$N,3,0),"")</f>
        <v/>
      </c>
      <c r="V7" s="62" t="str">
        <f>IFERROR($T7*VLOOKUP($S7,'food database'!$I:$N,4,0),"")</f>
        <v/>
      </c>
      <c r="W7" s="62" t="str">
        <f>IFERROR($T7*VLOOKUP($S7,'food database'!$I:$N,5,0),"")</f>
        <v/>
      </c>
      <c r="X7" s="64" t="str">
        <f t="shared" si="0"/>
        <v/>
      </c>
    </row>
    <row r="8" spans="2:24" ht="19.95" customHeight="1" thickBot="1" x14ac:dyDescent="0.35">
      <c r="B8" s="72" t="s">
        <v>158</v>
      </c>
      <c r="C8" s="72"/>
      <c r="D8" s="72"/>
      <c r="L8" s="62"/>
      <c r="M8" s="63"/>
      <c r="N8" s="66"/>
      <c r="O8" s="66"/>
      <c r="P8" s="66"/>
      <c r="Q8" s="67"/>
      <c r="S8" s="62"/>
      <c r="T8" s="63"/>
      <c r="U8" s="66"/>
      <c r="V8" s="66"/>
      <c r="W8" s="66"/>
      <c r="X8" s="67"/>
    </row>
    <row r="9" spans="2:24" ht="19.95" customHeight="1" thickBot="1" x14ac:dyDescent="0.35">
      <c r="B9" s="72"/>
      <c r="C9" s="72"/>
      <c r="D9" s="72"/>
      <c r="L9" s="84" t="s">
        <v>157</v>
      </c>
      <c r="M9" s="84"/>
      <c r="N9" s="68">
        <f>SUM(N3:N8)</f>
        <v>0</v>
      </c>
      <c r="O9" s="68">
        <f>SUM(O3:O8)</f>
        <v>0</v>
      </c>
      <c r="P9" s="68">
        <f>SUM(P3:P8)</f>
        <v>0</v>
      </c>
      <c r="Q9" s="68">
        <f>SUM(Q3:Q8)</f>
        <v>0</v>
      </c>
      <c r="S9" s="84" t="s">
        <v>157</v>
      </c>
      <c r="T9" s="84"/>
      <c r="U9" s="68">
        <f>SUM(U3:U8)</f>
        <v>46.9</v>
      </c>
      <c r="V9" s="68">
        <f>SUM(V3:V8)</f>
        <v>52.6</v>
      </c>
      <c r="W9" s="68">
        <f>SUM(W3:W8)</f>
        <v>10.100000000000001</v>
      </c>
      <c r="X9" s="68">
        <f>SUM(X3:X8)</f>
        <v>488.9</v>
      </c>
    </row>
    <row r="10" spans="2:24" ht="19.95" customHeight="1" thickBot="1" x14ac:dyDescent="0.35">
      <c r="B10" s="72"/>
      <c r="C10" s="72"/>
      <c r="D10" s="72"/>
      <c r="L10" s="82" t="s">
        <v>156</v>
      </c>
      <c r="M10" s="83"/>
      <c r="N10" s="70">
        <f>0.25*instruction!$N$15</f>
        <v>46</v>
      </c>
      <c r="O10" s="70"/>
      <c r="P10" s="70"/>
      <c r="Q10" s="70"/>
      <c r="S10" s="82" t="s">
        <v>156</v>
      </c>
      <c r="T10" s="83"/>
      <c r="U10" s="70">
        <f>0.25*instruction!$N$15</f>
        <v>46</v>
      </c>
      <c r="V10" s="70"/>
      <c r="W10" s="70"/>
      <c r="X10" s="70"/>
    </row>
    <row r="11" spans="2:24" ht="19.95" customHeight="1" thickBot="1" x14ac:dyDescent="0.35">
      <c r="C11" s="4"/>
      <c r="D11" s="4"/>
    </row>
    <row r="12" spans="2:24" ht="19.95" customHeight="1" thickBot="1" x14ac:dyDescent="0.35">
      <c r="C12" s="4"/>
      <c r="D12" s="4"/>
      <c r="L12" s="60" t="s">
        <v>71</v>
      </c>
      <c r="M12" s="61" t="s">
        <v>155</v>
      </c>
      <c r="N12" s="61" t="s">
        <v>2</v>
      </c>
      <c r="O12" s="61" t="s">
        <v>3</v>
      </c>
      <c r="P12" s="61" t="s">
        <v>4</v>
      </c>
      <c r="Q12" s="61" t="s">
        <v>1</v>
      </c>
      <c r="S12" s="60" t="s">
        <v>70</v>
      </c>
      <c r="T12" s="61" t="s">
        <v>155</v>
      </c>
      <c r="U12" s="61" t="s">
        <v>2</v>
      </c>
      <c r="V12" s="61" t="s">
        <v>3</v>
      </c>
      <c r="W12" s="61" t="s">
        <v>4</v>
      </c>
      <c r="X12" s="61" t="s">
        <v>1</v>
      </c>
    </row>
    <row r="13" spans="2:24" ht="19.95" customHeight="1" x14ac:dyDescent="0.3">
      <c r="C13" s="71" t="s">
        <v>102</v>
      </c>
      <c r="D13" s="71"/>
      <c r="L13" s="12"/>
      <c r="M13" s="63"/>
      <c r="N13" s="62" t="str">
        <f>IFERROR($M13*VLOOKUP($L13,'food database'!$I:$N,3,0),"")</f>
        <v/>
      </c>
      <c r="O13" s="62" t="str">
        <f>IFERROR($M13*VLOOKUP($L13,'food database'!$I:$N,4,0),"")</f>
        <v/>
      </c>
      <c r="P13" s="62" t="str">
        <f>IFERROR($M13*VLOOKUP($L13,'food database'!$I:$N,5,0),"")</f>
        <v/>
      </c>
      <c r="Q13" s="64" t="str">
        <f>IFERROR(4*N13+4*O13+9*P13,"")</f>
        <v/>
      </c>
      <c r="S13" s="12" t="s">
        <v>100</v>
      </c>
      <c r="T13" s="63">
        <v>2</v>
      </c>
      <c r="U13" s="62">
        <f>IFERROR($T13*VLOOKUP($S13,'food database'!$I:$N,3,0),"")</f>
        <v>49.2</v>
      </c>
      <c r="V13" s="62">
        <f>IFERROR($T13*VLOOKUP($S13,'food database'!$I:$N,4,0),"")</f>
        <v>4.5</v>
      </c>
      <c r="W13" s="62">
        <f>IFERROR($T13*VLOOKUP($S13,'food database'!$I:$N,5,0),"")</f>
        <v>2.6</v>
      </c>
      <c r="X13" s="64">
        <f t="shared" ref="X13:X17" si="2">IFERROR(4*U13+4*V13+9*W13,"")</f>
        <v>238.20000000000002</v>
      </c>
    </row>
    <row r="14" spans="2:24" ht="19.95" customHeight="1" x14ac:dyDescent="0.3">
      <c r="C14" s="71"/>
      <c r="D14" s="71"/>
      <c r="L14" s="62"/>
      <c r="M14" s="63"/>
      <c r="N14" s="62" t="str">
        <f>IFERROR($M14*VLOOKUP($L14,'food database'!$I:$N,3,0),"")</f>
        <v/>
      </c>
      <c r="O14" s="62" t="str">
        <f>IFERROR($M14*VLOOKUP($L14,'food database'!$I:$N,4,0),"")</f>
        <v/>
      </c>
      <c r="P14" s="62" t="str">
        <f>IFERROR($M14*VLOOKUP($L14,'food database'!$I:$N,5,0),"")</f>
        <v/>
      </c>
      <c r="Q14" s="64" t="str">
        <f>IFERROR(4*N14+4*O14+9*P14,"")</f>
        <v/>
      </c>
      <c r="S14" s="12"/>
      <c r="T14" s="63"/>
      <c r="U14" s="62" t="str">
        <f>IFERROR($T14*VLOOKUP($S14,'food database'!$I:$N,3,0),"")</f>
        <v/>
      </c>
      <c r="V14" s="62" t="str">
        <f>IFERROR($T14*VLOOKUP($S14,'food database'!$I:$N,4,0),"")</f>
        <v/>
      </c>
      <c r="W14" s="62" t="str">
        <f>IFERROR($T14*VLOOKUP($S14,'food database'!$I:$N,5,0),"")</f>
        <v/>
      </c>
      <c r="X14" s="64" t="str">
        <f t="shared" si="2"/>
        <v/>
      </c>
    </row>
    <row r="15" spans="2:24" ht="19.95" customHeight="1" x14ac:dyDescent="0.3">
      <c r="C15" s="71"/>
      <c r="D15" s="71"/>
      <c r="L15" s="65"/>
      <c r="M15" s="63"/>
      <c r="N15" s="62" t="str">
        <f>IFERROR($M15*VLOOKUP($L15,'food database'!$I:$N,3,0),"")</f>
        <v/>
      </c>
      <c r="O15" s="62" t="str">
        <f>IFERROR($M15*VLOOKUP($L15,'food database'!$I:$N,4,0),"")</f>
        <v/>
      </c>
      <c r="P15" s="62" t="str">
        <f>IFERROR($M15*VLOOKUP($L15,'food database'!$I:$N,5,0),"")</f>
        <v/>
      </c>
      <c r="Q15" s="64" t="str">
        <f t="shared" ref="Q15:Q17" si="3">IFERROR(4*N15+4*O15+9*P15,"")</f>
        <v/>
      </c>
      <c r="S15" s="65"/>
      <c r="T15" s="63"/>
      <c r="U15" s="62" t="str">
        <f>IFERROR($T15*VLOOKUP($S15,'food database'!$I:$N,3,0),"")</f>
        <v/>
      </c>
      <c r="V15" s="62" t="str">
        <f>IFERROR($T15*VLOOKUP($S15,'food database'!$I:$N,4,0),"")</f>
        <v/>
      </c>
      <c r="W15" s="62" t="str">
        <f>IFERROR($T15*VLOOKUP($S15,'food database'!$I:$N,5,0),"")</f>
        <v/>
      </c>
      <c r="X15" s="64" t="str">
        <f t="shared" si="2"/>
        <v/>
      </c>
    </row>
    <row r="16" spans="2:24" ht="19.95" customHeight="1" x14ac:dyDescent="0.3">
      <c r="C16" s="4"/>
      <c r="D16" s="4"/>
      <c r="L16" s="65"/>
      <c r="M16" s="63"/>
      <c r="N16" s="62" t="str">
        <f>IFERROR($M16*VLOOKUP($L16,'food database'!$I:$N,3,0),"")</f>
        <v/>
      </c>
      <c r="O16" s="62" t="str">
        <f>IFERROR($M16*VLOOKUP($L16,'food database'!$I:$N,4,0),"")</f>
        <v/>
      </c>
      <c r="P16" s="62" t="str">
        <f>IFERROR($M16*VLOOKUP($L16,'food database'!$I:$N,5,0),"")</f>
        <v/>
      </c>
      <c r="Q16" s="64" t="str">
        <f t="shared" si="3"/>
        <v/>
      </c>
      <c r="S16" s="65"/>
      <c r="T16" s="63"/>
      <c r="U16" s="62" t="str">
        <f>IFERROR($T16*VLOOKUP($S16,'food database'!$I:$N,3,0),"")</f>
        <v/>
      </c>
      <c r="V16" s="62" t="str">
        <f>IFERROR($T16*VLOOKUP($S16,'food database'!$I:$N,4,0),"")</f>
        <v/>
      </c>
      <c r="W16" s="62" t="str">
        <f>IFERROR($T16*VLOOKUP($S16,'food database'!$I:$N,5,0),"")</f>
        <v/>
      </c>
      <c r="X16" s="64" t="str">
        <f t="shared" si="2"/>
        <v/>
      </c>
    </row>
    <row r="17" spans="3:24" ht="19.95" customHeight="1" x14ac:dyDescent="0.3">
      <c r="C17" s="4"/>
      <c r="D17" s="4"/>
      <c r="L17" s="62"/>
      <c r="M17" s="63"/>
      <c r="N17" s="62" t="str">
        <f>IFERROR($M17*VLOOKUP($L17,'food database'!$I:$N,3,0),"")</f>
        <v/>
      </c>
      <c r="O17" s="62" t="str">
        <f>IFERROR($M17*VLOOKUP($L17,'food database'!$I:$N,4,0),"")</f>
        <v/>
      </c>
      <c r="P17" s="62" t="str">
        <f>IFERROR($M17*VLOOKUP($L17,'food database'!$I:$N,5,0),"")</f>
        <v/>
      </c>
      <c r="Q17" s="64" t="str">
        <f t="shared" si="3"/>
        <v/>
      </c>
      <c r="S17" s="62"/>
      <c r="T17" s="63"/>
      <c r="U17" s="62" t="str">
        <f>IFERROR($T17*VLOOKUP($S17,'food database'!$I:$N,3,0),"")</f>
        <v/>
      </c>
      <c r="V17" s="62" t="str">
        <f>IFERROR($T17*VLOOKUP($S17,'food database'!$I:$N,4,0),"")</f>
        <v/>
      </c>
      <c r="W17" s="62" t="str">
        <f>IFERROR($T17*VLOOKUP($S17,'food database'!$I:$N,5,0),"")</f>
        <v/>
      </c>
      <c r="X17" s="64" t="str">
        <f t="shared" si="2"/>
        <v/>
      </c>
    </row>
    <row r="18" spans="3:24" ht="19.95" customHeight="1" thickBot="1" x14ac:dyDescent="0.35">
      <c r="C18" s="71" t="s">
        <v>103</v>
      </c>
      <c r="D18" s="71"/>
      <c r="L18" s="62"/>
      <c r="M18" s="63"/>
      <c r="N18" s="66" t="str">
        <f>IFERROR($M18*VLOOKUP($L18,'food database'!$I:$N,3,0),"")</f>
        <v/>
      </c>
      <c r="O18" s="66" t="str">
        <f>IFERROR($M18*VLOOKUP($L18,'food database'!$I:$N,4,0),"")</f>
        <v/>
      </c>
      <c r="P18" s="66" t="str">
        <f>IFERROR($M18*VLOOKUP($L18,'food database'!$I:$N,5,0),"")</f>
        <v/>
      </c>
      <c r="Q18" s="67"/>
      <c r="S18" s="62"/>
      <c r="T18" s="63"/>
      <c r="U18" s="66" t="str">
        <f>IFERROR($M18*VLOOKUP($L18,'food database'!$I:$N,3,0),"")</f>
        <v/>
      </c>
      <c r="V18" s="66" t="str">
        <f>IFERROR($M18*VLOOKUP($L18,'food database'!$I:$N,4,0),"")</f>
        <v/>
      </c>
      <c r="W18" s="66" t="str">
        <f>IFERROR($M18*VLOOKUP($L18,'food database'!$I:$N,5,0),"")</f>
        <v/>
      </c>
      <c r="X18" s="67"/>
    </row>
    <row r="19" spans="3:24" ht="19.95" customHeight="1" thickBot="1" x14ac:dyDescent="0.35">
      <c r="C19" s="71"/>
      <c r="D19" s="71"/>
      <c r="L19" s="84" t="s">
        <v>157</v>
      </c>
      <c r="M19" s="84"/>
      <c r="N19" s="68">
        <f>SUM(N13:N18)</f>
        <v>0</v>
      </c>
      <c r="O19" s="68">
        <f>SUM(O13:O18)</f>
        <v>0</v>
      </c>
      <c r="P19" s="68">
        <f>SUM(P13:P18)</f>
        <v>0</v>
      </c>
      <c r="Q19" s="68">
        <f>SUM(Q13:Q18)</f>
        <v>0</v>
      </c>
      <c r="S19" s="84" t="s">
        <v>157</v>
      </c>
      <c r="T19" s="84"/>
      <c r="U19" s="68">
        <f>SUM(U13:U18)</f>
        <v>49.2</v>
      </c>
      <c r="V19" s="68">
        <f>SUM(V13:V18)</f>
        <v>4.5</v>
      </c>
      <c r="W19" s="68">
        <f>SUM(W13:W18)</f>
        <v>2.6</v>
      </c>
      <c r="X19" s="68">
        <f>SUM(X13:X18)</f>
        <v>238.20000000000002</v>
      </c>
    </row>
    <row r="20" spans="3:24" ht="19.95" customHeight="1" thickBot="1" x14ac:dyDescent="0.35">
      <c r="C20" s="71"/>
      <c r="D20" s="71"/>
      <c r="L20" s="82" t="s">
        <v>156</v>
      </c>
      <c r="M20" s="83"/>
      <c r="N20" s="70">
        <f>0.25*instruction!$N$15</f>
        <v>46</v>
      </c>
      <c r="O20" s="70"/>
      <c r="P20" s="70"/>
      <c r="Q20" s="70"/>
      <c r="S20" s="82" t="s">
        <v>156</v>
      </c>
      <c r="T20" s="83"/>
      <c r="U20" s="70">
        <f>0.25*instruction!$N$15</f>
        <v>46</v>
      </c>
      <c r="V20" s="70"/>
      <c r="W20" s="70"/>
      <c r="X20" s="70"/>
    </row>
    <row r="21" spans="3:24" ht="19.95" customHeight="1" x14ac:dyDescent="0.3">
      <c r="C21" s="3"/>
      <c r="D21" s="3"/>
    </row>
    <row r="22" spans="3:24" ht="19.95" customHeight="1" x14ac:dyDescent="0.3">
      <c r="C22" s="3"/>
      <c r="D22" s="3"/>
    </row>
    <row r="23" spans="3:24" ht="19.95" customHeight="1" x14ac:dyDescent="0.3">
      <c r="C23" s="3"/>
      <c r="D23" s="3"/>
    </row>
    <row r="24" spans="3:24" ht="19.95" customHeight="1" x14ac:dyDescent="0.3">
      <c r="C24" s="3"/>
      <c r="D24" s="3"/>
    </row>
    <row r="25" spans="3:24" ht="19.95" customHeight="1" x14ac:dyDescent="0.3">
      <c r="C25" s="3"/>
      <c r="D25" s="3"/>
    </row>
    <row r="26" spans="3:24" ht="19.95" customHeight="1" x14ac:dyDescent="0.3">
      <c r="C26" s="3"/>
      <c r="D26" s="3"/>
    </row>
    <row r="27" spans="3:24" ht="19.95" customHeight="1" x14ac:dyDescent="0.3">
      <c r="C27" s="3"/>
      <c r="D27" s="3"/>
    </row>
    <row r="28" spans="3:24" ht="19.95" customHeight="1" x14ac:dyDescent="0.3">
      <c r="C28" s="3"/>
      <c r="D28" s="3"/>
    </row>
    <row r="29" spans="3:24" ht="19.95" customHeight="1" x14ac:dyDescent="0.3">
      <c r="C29" s="3"/>
      <c r="D29" s="3"/>
    </row>
    <row r="30" spans="3:24" ht="19.95" customHeight="1" x14ac:dyDescent="0.3">
      <c r="C30" s="3"/>
      <c r="D30" s="3"/>
    </row>
    <row r="31" spans="3:24" ht="19.95" customHeight="1" x14ac:dyDescent="0.3">
      <c r="C31" s="3"/>
      <c r="D31" s="3"/>
    </row>
    <row r="32" spans="3:24" ht="19.95" customHeight="1" x14ac:dyDescent="0.3">
      <c r="C32" s="3"/>
      <c r="D32" s="3"/>
    </row>
    <row r="33" spans="3:4" ht="19.95" customHeight="1" x14ac:dyDescent="0.3">
      <c r="C33" s="3"/>
      <c r="D33" s="3"/>
    </row>
    <row r="34" spans="3:4" ht="19.95" customHeight="1" x14ac:dyDescent="0.3">
      <c r="C34" s="3"/>
      <c r="D34" s="3"/>
    </row>
    <row r="35" spans="3:4" ht="19.95" customHeight="1" x14ac:dyDescent="0.3">
      <c r="C35" s="3"/>
      <c r="D35" s="3"/>
    </row>
    <row r="36" spans="3:4" ht="19.95" customHeight="1" x14ac:dyDescent="0.3">
      <c r="C36" s="3"/>
      <c r="D36" s="3"/>
    </row>
    <row r="37" spans="3:4" ht="19.95" customHeight="1" x14ac:dyDescent="0.3">
      <c r="C37" s="3"/>
      <c r="D37" s="3"/>
    </row>
    <row r="38" spans="3:4" ht="19.95" customHeight="1" x14ac:dyDescent="0.3">
      <c r="C38" s="3"/>
      <c r="D38" s="3"/>
    </row>
    <row r="39" spans="3:4" ht="19.95" customHeight="1" x14ac:dyDescent="0.3">
      <c r="C39" s="3"/>
      <c r="D39" s="3"/>
    </row>
    <row r="40" spans="3:4" ht="19.95" customHeight="1" x14ac:dyDescent="0.3">
      <c r="C40" s="3"/>
      <c r="D40" s="3"/>
    </row>
    <row r="41" spans="3:4" ht="19.95" customHeight="1" x14ac:dyDescent="0.3">
      <c r="C41" s="3"/>
      <c r="D41" s="3"/>
    </row>
    <row r="42" spans="3:4" ht="19.95" customHeight="1" x14ac:dyDescent="0.3">
      <c r="C42" s="3"/>
      <c r="D42" s="3"/>
    </row>
    <row r="43" spans="3:4" ht="19.95" customHeight="1" x14ac:dyDescent="0.3">
      <c r="C43" s="3"/>
      <c r="D43" s="3"/>
    </row>
    <row r="44" spans="3:4" ht="19.95" customHeight="1" x14ac:dyDescent="0.3">
      <c r="C44" s="3"/>
      <c r="D44" s="3"/>
    </row>
    <row r="45" spans="3:4" ht="19.95" customHeight="1" x14ac:dyDescent="0.3">
      <c r="C45" s="3"/>
      <c r="D45" s="3"/>
    </row>
    <row r="46" spans="3:4" ht="19.95" customHeight="1" x14ac:dyDescent="0.3">
      <c r="C46" s="3"/>
      <c r="D46" s="3"/>
    </row>
    <row r="47" spans="3:4" ht="19.95" customHeight="1" x14ac:dyDescent="0.3">
      <c r="C47" s="3"/>
      <c r="D47" s="3"/>
    </row>
    <row r="48" spans="3:4" ht="19.95" customHeight="1" x14ac:dyDescent="0.3">
      <c r="C48" s="3"/>
      <c r="D48" s="3"/>
    </row>
    <row r="49" spans="3:4" ht="19.95" customHeight="1" x14ac:dyDescent="0.3">
      <c r="C49" s="3"/>
      <c r="D49" s="3"/>
    </row>
    <row r="50" spans="3:4" ht="19.95" customHeight="1" x14ac:dyDescent="0.3">
      <c r="C50" s="3"/>
      <c r="D50" s="3"/>
    </row>
    <row r="51" spans="3:4" ht="19.95" customHeight="1" x14ac:dyDescent="0.3">
      <c r="C51" s="3"/>
      <c r="D51" s="3"/>
    </row>
    <row r="52" spans="3:4" ht="19.95" customHeight="1" x14ac:dyDescent="0.3">
      <c r="C52" s="3"/>
      <c r="D52" s="3"/>
    </row>
    <row r="53" spans="3:4" ht="19.95" customHeight="1" x14ac:dyDescent="0.3">
      <c r="C53" s="3"/>
      <c r="D53" s="3"/>
    </row>
    <row r="54" spans="3:4" ht="19.95" customHeight="1" x14ac:dyDescent="0.3">
      <c r="C54" s="3"/>
      <c r="D54" s="3"/>
    </row>
    <row r="55" spans="3:4" ht="19.95" customHeight="1" x14ac:dyDescent="0.3">
      <c r="C55" s="3"/>
      <c r="D55" s="3"/>
    </row>
    <row r="56" spans="3:4" ht="19.95" customHeight="1" x14ac:dyDescent="0.3">
      <c r="C56" s="3"/>
      <c r="D56" s="3"/>
    </row>
    <row r="57" spans="3:4" ht="19.95" customHeight="1" x14ac:dyDescent="0.3">
      <c r="C57" s="3"/>
      <c r="D57" s="3"/>
    </row>
    <row r="58" spans="3:4" ht="19.95" customHeight="1" x14ac:dyDescent="0.3">
      <c r="C58" s="3"/>
      <c r="D58" s="3"/>
    </row>
    <row r="59" spans="3:4" ht="19.95" customHeight="1" x14ac:dyDescent="0.3">
      <c r="C59" s="3"/>
      <c r="D59" s="3"/>
    </row>
    <row r="60" spans="3:4" ht="19.95" customHeight="1" x14ac:dyDescent="0.3">
      <c r="C60" s="3"/>
      <c r="D60" s="3"/>
    </row>
    <row r="61" spans="3:4" ht="19.95" customHeight="1" x14ac:dyDescent="0.3">
      <c r="C61" s="3"/>
      <c r="D61" s="3"/>
    </row>
    <row r="62" spans="3:4" ht="19.95" customHeight="1" x14ac:dyDescent="0.3">
      <c r="C62" s="3"/>
      <c r="D62" s="3"/>
    </row>
    <row r="63" spans="3:4" ht="19.95" customHeight="1" x14ac:dyDescent="0.3">
      <c r="C63" s="3"/>
      <c r="D63" s="3"/>
    </row>
    <row r="64" spans="3:4" ht="19.95" customHeight="1" x14ac:dyDescent="0.3">
      <c r="C64" s="3"/>
      <c r="D64" s="3"/>
    </row>
    <row r="65" spans="3:4" ht="19.95" customHeight="1" x14ac:dyDescent="0.3">
      <c r="C65" s="3"/>
      <c r="D65" s="3"/>
    </row>
    <row r="66" spans="3:4" ht="19.95" customHeight="1" x14ac:dyDescent="0.3">
      <c r="C66" s="3"/>
      <c r="D66" s="3"/>
    </row>
    <row r="67" spans="3:4" ht="19.95" customHeight="1" x14ac:dyDescent="0.3">
      <c r="C67" s="3"/>
      <c r="D67" s="3"/>
    </row>
    <row r="68" spans="3:4" ht="19.95" customHeight="1" x14ac:dyDescent="0.3">
      <c r="C68" s="3"/>
      <c r="D68" s="3"/>
    </row>
    <row r="69" spans="3:4" ht="19.95" customHeight="1" x14ac:dyDescent="0.3">
      <c r="C69" s="3"/>
      <c r="D69" s="3"/>
    </row>
    <row r="70" spans="3:4" ht="19.95" customHeight="1" x14ac:dyDescent="0.3">
      <c r="C70" s="3"/>
      <c r="D70" s="3"/>
    </row>
    <row r="71" spans="3:4" ht="19.95" customHeight="1" x14ac:dyDescent="0.3">
      <c r="C71" s="3"/>
      <c r="D71" s="3"/>
    </row>
    <row r="72" spans="3:4" ht="19.95" customHeight="1" x14ac:dyDescent="0.3">
      <c r="C72" s="3"/>
      <c r="D72" s="3"/>
    </row>
    <row r="73" spans="3:4" ht="19.95" customHeight="1" x14ac:dyDescent="0.3">
      <c r="C73" s="3"/>
      <c r="D73" s="3"/>
    </row>
    <row r="74" spans="3:4" ht="19.95" customHeight="1" x14ac:dyDescent="0.3">
      <c r="C74" s="3"/>
      <c r="D74" s="3"/>
    </row>
    <row r="75" spans="3:4" ht="19.95" customHeight="1" x14ac:dyDescent="0.3">
      <c r="C75" s="3"/>
      <c r="D75" s="3"/>
    </row>
    <row r="76" spans="3:4" ht="19.95" customHeight="1" x14ac:dyDescent="0.3">
      <c r="C76" s="3"/>
      <c r="D76" s="3"/>
    </row>
    <row r="77" spans="3:4" ht="19.95" customHeight="1" x14ac:dyDescent="0.3">
      <c r="C77" s="3"/>
      <c r="D77" s="3"/>
    </row>
    <row r="78" spans="3:4" ht="19.95" customHeight="1" x14ac:dyDescent="0.3">
      <c r="C78" s="3"/>
      <c r="D78" s="3"/>
    </row>
    <row r="79" spans="3:4" ht="19.95" customHeight="1" x14ac:dyDescent="0.3">
      <c r="C79" s="3"/>
      <c r="D79" s="3"/>
    </row>
    <row r="80" spans="3:4" ht="19.95" customHeight="1" x14ac:dyDescent="0.3">
      <c r="C80" s="3"/>
      <c r="D80" s="3"/>
    </row>
    <row r="81" spans="3:4" ht="19.95" customHeight="1" x14ac:dyDescent="0.3">
      <c r="C81" s="3"/>
      <c r="D81" s="3"/>
    </row>
    <row r="82" spans="3:4" ht="19.95" customHeight="1" x14ac:dyDescent="0.3">
      <c r="C82" s="3"/>
      <c r="D82" s="3"/>
    </row>
    <row r="83" spans="3:4" ht="19.95" customHeight="1" x14ac:dyDescent="0.3">
      <c r="C83" s="3"/>
      <c r="D83" s="3"/>
    </row>
    <row r="84" spans="3:4" ht="19.95" customHeight="1" x14ac:dyDescent="0.3">
      <c r="C84" s="3"/>
      <c r="D84" s="3"/>
    </row>
    <row r="85" spans="3:4" ht="19.95" customHeight="1" x14ac:dyDescent="0.3">
      <c r="C85" s="3"/>
      <c r="D85" s="3"/>
    </row>
    <row r="86" spans="3:4" ht="19.95" customHeight="1" x14ac:dyDescent="0.3">
      <c r="C86" s="3"/>
      <c r="D86" s="3"/>
    </row>
    <row r="87" spans="3:4" ht="19.95" customHeight="1" x14ac:dyDescent="0.3">
      <c r="C87" s="3"/>
      <c r="D87" s="3"/>
    </row>
    <row r="88" spans="3:4" ht="19.95" customHeight="1" x14ac:dyDescent="0.3">
      <c r="C88" s="3"/>
      <c r="D88" s="3"/>
    </row>
    <row r="89" spans="3:4" ht="19.95" customHeight="1" x14ac:dyDescent="0.3">
      <c r="C89" s="3"/>
      <c r="D89" s="3"/>
    </row>
    <row r="90" spans="3:4" ht="19.95" customHeight="1" x14ac:dyDescent="0.3">
      <c r="C90" s="3"/>
      <c r="D90" s="3"/>
    </row>
    <row r="91" spans="3:4" ht="19.95" customHeight="1" x14ac:dyDescent="0.3">
      <c r="C91" s="3"/>
      <c r="D91" s="3"/>
    </row>
    <row r="92" spans="3:4" ht="19.95" customHeight="1" x14ac:dyDescent="0.3">
      <c r="C92" s="3"/>
      <c r="D92" s="3"/>
    </row>
    <row r="93" spans="3:4" ht="19.95" customHeight="1" x14ac:dyDescent="0.3">
      <c r="C93" s="3"/>
      <c r="D93" s="3"/>
    </row>
    <row r="94" spans="3:4" ht="19.95" customHeight="1" x14ac:dyDescent="0.3">
      <c r="C94" s="3"/>
      <c r="D94" s="3"/>
    </row>
    <row r="95" spans="3:4" ht="19.95" customHeight="1" x14ac:dyDescent="0.3">
      <c r="C95" s="3"/>
      <c r="D95" s="3"/>
    </row>
    <row r="96" spans="3:4" ht="19.95" customHeight="1" x14ac:dyDescent="0.3">
      <c r="C96" s="3"/>
      <c r="D96" s="3"/>
    </row>
    <row r="97" spans="3:4" ht="19.95" customHeight="1" x14ac:dyDescent="0.3">
      <c r="C97" s="3"/>
      <c r="D97" s="3"/>
    </row>
    <row r="98" spans="3:4" ht="19.95" customHeight="1" x14ac:dyDescent="0.3">
      <c r="C98" s="3"/>
      <c r="D98" s="3"/>
    </row>
    <row r="99" spans="3:4" ht="19.95" customHeight="1" x14ac:dyDescent="0.3">
      <c r="C99" s="3"/>
      <c r="D99" s="3"/>
    </row>
    <row r="100" spans="3:4" ht="19.95" customHeight="1" x14ac:dyDescent="0.3">
      <c r="C100" s="3"/>
      <c r="D100" s="3"/>
    </row>
    <row r="101" spans="3:4" ht="19.95" customHeight="1" x14ac:dyDescent="0.3">
      <c r="C101" s="3"/>
      <c r="D101" s="3"/>
    </row>
    <row r="102" spans="3:4" ht="19.95" customHeight="1" x14ac:dyDescent="0.3">
      <c r="C102" s="3"/>
      <c r="D102" s="3"/>
    </row>
    <row r="103" spans="3:4" ht="19.95" customHeight="1" x14ac:dyDescent="0.3">
      <c r="C103" s="3"/>
      <c r="D103" s="3"/>
    </row>
    <row r="104" spans="3:4" ht="19.95" customHeight="1" x14ac:dyDescent="0.3">
      <c r="C104" s="3"/>
      <c r="D104" s="3"/>
    </row>
    <row r="105" spans="3:4" ht="19.95" customHeight="1" x14ac:dyDescent="0.3">
      <c r="C105" s="3"/>
      <c r="D105" s="3"/>
    </row>
    <row r="106" spans="3:4" ht="19.95" customHeight="1" x14ac:dyDescent="0.3">
      <c r="C106" s="3"/>
      <c r="D106" s="3"/>
    </row>
    <row r="107" spans="3:4" ht="19.95" customHeight="1" x14ac:dyDescent="0.3">
      <c r="C107" s="3"/>
      <c r="D107" s="3"/>
    </row>
    <row r="108" spans="3:4" ht="19.95" customHeight="1" x14ac:dyDescent="0.3">
      <c r="C108" s="3"/>
      <c r="D108" s="3"/>
    </row>
    <row r="109" spans="3:4" ht="19.95" customHeight="1" x14ac:dyDescent="0.3">
      <c r="C109" s="3"/>
      <c r="D109" s="3"/>
    </row>
    <row r="110" spans="3:4" ht="19.95" customHeight="1" x14ac:dyDescent="0.3">
      <c r="C110" s="3"/>
      <c r="D110" s="3"/>
    </row>
    <row r="111" spans="3:4" ht="19.95" customHeight="1" x14ac:dyDescent="0.3">
      <c r="C111" s="3"/>
      <c r="D111" s="3"/>
    </row>
    <row r="112" spans="3:4" ht="19.95" customHeight="1" x14ac:dyDescent="0.3">
      <c r="C112" s="3"/>
      <c r="D112" s="3"/>
    </row>
    <row r="113" spans="3:4" ht="19.95" customHeight="1" x14ac:dyDescent="0.3">
      <c r="C113" s="3"/>
      <c r="D113" s="3"/>
    </row>
    <row r="114" spans="3:4" ht="19.95" customHeight="1" x14ac:dyDescent="0.3">
      <c r="C114" s="3"/>
      <c r="D114" s="3"/>
    </row>
    <row r="115" spans="3:4" ht="19.95" customHeight="1" x14ac:dyDescent="0.3">
      <c r="C115" s="3"/>
      <c r="D115" s="3"/>
    </row>
    <row r="116" spans="3:4" ht="19.95" customHeight="1" x14ac:dyDescent="0.3">
      <c r="C116" s="3"/>
      <c r="D116" s="3"/>
    </row>
    <row r="117" spans="3:4" ht="19.95" customHeight="1" x14ac:dyDescent="0.3">
      <c r="C117" s="3"/>
      <c r="D117" s="3"/>
    </row>
    <row r="118" spans="3:4" ht="19.95" customHeight="1" x14ac:dyDescent="0.3">
      <c r="C118" s="3"/>
      <c r="D118" s="3"/>
    </row>
    <row r="119" spans="3:4" ht="19.95" customHeight="1" x14ac:dyDescent="0.3">
      <c r="C119" s="3"/>
      <c r="D119" s="3"/>
    </row>
    <row r="120" spans="3:4" ht="19.95" customHeight="1" x14ac:dyDescent="0.3">
      <c r="C120" s="3"/>
      <c r="D120" s="3"/>
    </row>
    <row r="121" spans="3:4" ht="19.95" customHeight="1" x14ac:dyDescent="0.3">
      <c r="C121" s="3"/>
      <c r="D121" s="3"/>
    </row>
    <row r="122" spans="3:4" ht="19.95" customHeight="1" x14ac:dyDescent="0.3">
      <c r="C122" s="3"/>
      <c r="D122" s="3"/>
    </row>
    <row r="123" spans="3:4" ht="19.95" customHeight="1" x14ac:dyDescent="0.3">
      <c r="C123" s="3"/>
      <c r="D123" s="3"/>
    </row>
    <row r="124" spans="3:4" ht="19.95" customHeight="1" x14ac:dyDescent="0.3">
      <c r="C124" s="3"/>
      <c r="D124" s="3"/>
    </row>
    <row r="125" spans="3:4" ht="19.95" customHeight="1" x14ac:dyDescent="0.3">
      <c r="C125" s="3"/>
      <c r="D125" s="3"/>
    </row>
    <row r="126" spans="3:4" ht="19.95" customHeight="1" x14ac:dyDescent="0.3">
      <c r="C126" s="3"/>
      <c r="D126" s="3"/>
    </row>
    <row r="127" spans="3:4" ht="19.95" customHeight="1" x14ac:dyDescent="0.3">
      <c r="C127" s="3"/>
      <c r="D127" s="3"/>
    </row>
    <row r="128" spans="3:4" ht="19.95" customHeight="1" x14ac:dyDescent="0.3">
      <c r="C128" s="3"/>
      <c r="D128" s="3"/>
    </row>
    <row r="129" spans="3:4" ht="19.95" customHeight="1" x14ac:dyDescent="0.3">
      <c r="C129" s="3"/>
      <c r="D129" s="3"/>
    </row>
    <row r="130" spans="3:4" ht="19.95" customHeight="1" x14ac:dyDescent="0.3">
      <c r="C130" s="3"/>
      <c r="D130" s="3"/>
    </row>
    <row r="131" spans="3:4" ht="19.95" customHeight="1" x14ac:dyDescent="0.3">
      <c r="C131" s="3"/>
      <c r="D131" s="3"/>
    </row>
    <row r="132" spans="3:4" ht="19.95" customHeight="1" x14ac:dyDescent="0.3">
      <c r="C132" s="3"/>
      <c r="D132" s="3"/>
    </row>
    <row r="133" spans="3:4" ht="19.95" customHeight="1" x14ac:dyDescent="0.3">
      <c r="C133" s="3"/>
      <c r="D133" s="3"/>
    </row>
    <row r="134" spans="3:4" ht="19.95" customHeight="1" x14ac:dyDescent="0.3">
      <c r="C134" s="3"/>
      <c r="D134" s="3"/>
    </row>
    <row r="135" spans="3:4" ht="19.95" customHeight="1" x14ac:dyDescent="0.3">
      <c r="C135" s="3"/>
      <c r="D135" s="3"/>
    </row>
    <row r="136" spans="3:4" ht="19.95" customHeight="1" x14ac:dyDescent="0.3">
      <c r="C136" s="3"/>
      <c r="D136" s="3"/>
    </row>
    <row r="137" spans="3:4" ht="19.95" customHeight="1" x14ac:dyDescent="0.3">
      <c r="C137" s="3"/>
      <c r="D137" s="3"/>
    </row>
    <row r="138" spans="3:4" ht="19.95" customHeight="1" x14ac:dyDescent="0.3">
      <c r="C138" s="3"/>
      <c r="D138" s="3"/>
    </row>
    <row r="139" spans="3:4" ht="19.95" customHeight="1" x14ac:dyDescent="0.3">
      <c r="C139" s="3"/>
      <c r="D139" s="3"/>
    </row>
    <row r="140" spans="3:4" ht="19.95" customHeight="1" x14ac:dyDescent="0.3">
      <c r="C140" s="3"/>
      <c r="D140" s="3"/>
    </row>
    <row r="141" spans="3:4" ht="19.95" customHeight="1" x14ac:dyDescent="0.3">
      <c r="C141" s="3"/>
      <c r="D141" s="3"/>
    </row>
    <row r="142" spans="3:4" ht="19.95" customHeight="1" x14ac:dyDescent="0.3">
      <c r="C142" s="3"/>
      <c r="D142" s="3"/>
    </row>
    <row r="143" spans="3:4" ht="19.95" customHeight="1" x14ac:dyDescent="0.3">
      <c r="C143" s="3"/>
      <c r="D143" s="3"/>
    </row>
    <row r="144" spans="3:4" ht="19.95" customHeight="1" x14ac:dyDescent="0.3">
      <c r="C144" s="3"/>
      <c r="D144" s="3"/>
    </row>
    <row r="145" spans="3:4" ht="19.95" customHeight="1" x14ac:dyDescent="0.3">
      <c r="C145" s="3"/>
      <c r="D145" s="3"/>
    </row>
    <row r="146" spans="3:4" ht="19.95" customHeight="1" x14ac:dyDescent="0.3">
      <c r="C146" s="3"/>
      <c r="D146" s="3"/>
    </row>
    <row r="147" spans="3:4" ht="19.95" customHeight="1" x14ac:dyDescent="0.3">
      <c r="C147" s="3"/>
      <c r="D147" s="3"/>
    </row>
    <row r="148" spans="3:4" ht="19.95" customHeight="1" x14ac:dyDescent="0.3">
      <c r="C148" s="3"/>
      <c r="D148" s="3"/>
    </row>
    <row r="149" spans="3:4" ht="19.95" customHeight="1" x14ac:dyDescent="0.3">
      <c r="C149" s="3"/>
      <c r="D149" s="3"/>
    </row>
    <row r="150" spans="3:4" ht="19.95" customHeight="1" x14ac:dyDescent="0.3">
      <c r="C150" s="3"/>
      <c r="D150" s="3"/>
    </row>
    <row r="151" spans="3:4" ht="19.95" customHeight="1" x14ac:dyDescent="0.3">
      <c r="C151" s="3"/>
      <c r="D151" s="3"/>
    </row>
    <row r="152" spans="3:4" ht="19.95" customHeight="1" x14ac:dyDescent="0.3">
      <c r="C152" s="3"/>
      <c r="D152" s="3"/>
    </row>
    <row r="153" spans="3:4" ht="19.95" customHeight="1" x14ac:dyDescent="0.3">
      <c r="C153" s="3"/>
      <c r="D153" s="3"/>
    </row>
    <row r="154" spans="3:4" ht="19.95" customHeight="1" x14ac:dyDescent="0.3">
      <c r="C154" s="3"/>
      <c r="D154" s="3"/>
    </row>
    <row r="155" spans="3:4" ht="19.95" customHeight="1" x14ac:dyDescent="0.3">
      <c r="C155" s="3"/>
      <c r="D155" s="3"/>
    </row>
    <row r="156" spans="3:4" ht="19.95" customHeight="1" x14ac:dyDescent="0.3">
      <c r="C156" s="3"/>
      <c r="D156" s="3"/>
    </row>
    <row r="157" spans="3:4" ht="19.95" customHeight="1" x14ac:dyDescent="0.3">
      <c r="C157" s="3"/>
      <c r="D157" s="3"/>
    </row>
    <row r="158" spans="3:4" ht="19.95" customHeight="1" x14ac:dyDescent="0.3">
      <c r="C158" s="3"/>
      <c r="D158" s="3"/>
    </row>
    <row r="159" spans="3:4" ht="19.95" customHeight="1" x14ac:dyDescent="0.3">
      <c r="C159" s="3"/>
      <c r="D159" s="3"/>
    </row>
    <row r="160" spans="3:4" ht="19.95" customHeight="1" x14ac:dyDescent="0.3">
      <c r="C160" s="3"/>
      <c r="D160" s="3"/>
    </row>
    <row r="161" spans="3:4" ht="19.95" customHeight="1" x14ac:dyDescent="0.3">
      <c r="C161" s="3"/>
      <c r="D161" s="3"/>
    </row>
    <row r="162" spans="3:4" ht="19.95" customHeight="1" x14ac:dyDescent="0.3">
      <c r="C162" s="3"/>
      <c r="D162" s="3"/>
    </row>
    <row r="163" spans="3:4" ht="19.95" customHeight="1" x14ac:dyDescent="0.3">
      <c r="C163" s="3"/>
      <c r="D163" s="3"/>
    </row>
    <row r="164" spans="3:4" ht="19.95" customHeight="1" x14ac:dyDescent="0.3">
      <c r="C164" s="3"/>
      <c r="D164" s="3"/>
    </row>
    <row r="165" spans="3:4" ht="19.95" customHeight="1" x14ac:dyDescent="0.3">
      <c r="C165" s="3"/>
      <c r="D165" s="3"/>
    </row>
    <row r="166" spans="3:4" ht="19.95" customHeight="1" x14ac:dyDescent="0.3">
      <c r="C166" s="3"/>
      <c r="D166" s="3"/>
    </row>
    <row r="167" spans="3:4" ht="19.95" customHeight="1" x14ac:dyDescent="0.3">
      <c r="C167" s="3"/>
      <c r="D167" s="3"/>
    </row>
    <row r="168" spans="3:4" ht="19.95" customHeight="1" x14ac:dyDescent="0.3">
      <c r="C168" s="3"/>
      <c r="D168" s="3"/>
    </row>
    <row r="169" spans="3:4" ht="19.95" customHeight="1" x14ac:dyDescent="0.3">
      <c r="C169" s="3"/>
      <c r="D169" s="3"/>
    </row>
    <row r="170" spans="3:4" ht="19.95" customHeight="1" x14ac:dyDescent="0.3">
      <c r="C170" s="3"/>
      <c r="D170" s="3"/>
    </row>
    <row r="171" spans="3:4" ht="19.95" customHeight="1" x14ac:dyDescent="0.3">
      <c r="C171" s="3"/>
      <c r="D171" s="3"/>
    </row>
    <row r="172" spans="3:4" ht="19.95" customHeight="1" x14ac:dyDescent="0.3">
      <c r="C172" s="3"/>
      <c r="D172" s="3"/>
    </row>
    <row r="173" spans="3:4" ht="19.95" customHeight="1" x14ac:dyDescent="0.3">
      <c r="C173" s="3"/>
      <c r="D173" s="3"/>
    </row>
    <row r="174" spans="3:4" ht="19.95" customHeight="1" x14ac:dyDescent="0.3">
      <c r="C174" s="3"/>
      <c r="D174" s="3"/>
    </row>
    <row r="175" spans="3:4" ht="19.95" customHeight="1" x14ac:dyDescent="0.3">
      <c r="C175" s="3"/>
      <c r="D175" s="3"/>
    </row>
    <row r="176" spans="3:4" ht="19.95" customHeight="1" x14ac:dyDescent="0.3">
      <c r="C176" s="3"/>
      <c r="D176" s="3"/>
    </row>
    <row r="177" spans="3:4" ht="19.95" customHeight="1" x14ac:dyDescent="0.3">
      <c r="C177" s="3"/>
      <c r="D177" s="3"/>
    </row>
    <row r="178" spans="3:4" ht="19.95" customHeight="1" x14ac:dyDescent="0.3">
      <c r="C178" s="3"/>
      <c r="D178" s="3"/>
    </row>
    <row r="179" spans="3:4" ht="19.95" customHeight="1" x14ac:dyDescent="0.3">
      <c r="C179" s="3"/>
      <c r="D179" s="3"/>
    </row>
    <row r="180" spans="3:4" ht="19.95" customHeight="1" x14ac:dyDescent="0.3">
      <c r="C180" s="3"/>
      <c r="D180" s="3"/>
    </row>
    <row r="181" spans="3:4" ht="19.95" customHeight="1" x14ac:dyDescent="0.3">
      <c r="C181" s="3"/>
      <c r="D181" s="3"/>
    </row>
    <row r="182" spans="3:4" ht="19.95" customHeight="1" x14ac:dyDescent="0.3">
      <c r="C182" s="3"/>
      <c r="D182" s="3"/>
    </row>
    <row r="183" spans="3:4" ht="19.95" customHeight="1" x14ac:dyDescent="0.3">
      <c r="C183" s="3"/>
      <c r="D183" s="3"/>
    </row>
    <row r="184" spans="3:4" ht="19.95" customHeight="1" x14ac:dyDescent="0.3">
      <c r="C184" s="3"/>
      <c r="D184" s="3"/>
    </row>
    <row r="185" spans="3:4" ht="19.95" customHeight="1" x14ac:dyDescent="0.3">
      <c r="C185" s="3"/>
      <c r="D185" s="3"/>
    </row>
    <row r="186" spans="3:4" ht="19.95" customHeight="1" x14ac:dyDescent="0.3">
      <c r="C186" s="3"/>
      <c r="D186" s="3"/>
    </row>
    <row r="187" spans="3:4" ht="19.95" customHeight="1" x14ac:dyDescent="0.3">
      <c r="C187" s="3"/>
      <c r="D187" s="3"/>
    </row>
    <row r="188" spans="3:4" ht="19.95" customHeight="1" x14ac:dyDescent="0.3">
      <c r="C188" s="3"/>
      <c r="D188" s="3"/>
    </row>
    <row r="189" spans="3:4" ht="19.95" customHeight="1" x14ac:dyDescent="0.3">
      <c r="C189" s="3"/>
      <c r="D189" s="3"/>
    </row>
    <row r="190" spans="3:4" ht="19.95" customHeight="1" x14ac:dyDescent="0.3">
      <c r="C190" s="3"/>
      <c r="D190" s="3"/>
    </row>
    <row r="191" spans="3:4" ht="19.95" customHeight="1" x14ac:dyDescent="0.3">
      <c r="C191" s="3"/>
      <c r="D191" s="3"/>
    </row>
    <row r="192" spans="3:4" ht="19.95" customHeight="1" x14ac:dyDescent="0.3">
      <c r="C192" s="3"/>
      <c r="D192" s="3"/>
    </row>
    <row r="193" spans="3:4" ht="19.95" customHeight="1" x14ac:dyDescent="0.3">
      <c r="C193" s="3"/>
      <c r="D193" s="3"/>
    </row>
    <row r="194" spans="3:4" ht="19.95" customHeight="1" x14ac:dyDescent="0.3">
      <c r="C194" s="3"/>
      <c r="D194" s="3"/>
    </row>
    <row r="195" spans="3:4" ht="19.95" customHeight="1" x14ac:dyDescent="0.3">
      <c r="C195" s="3"/>
      <c r="D195" s="3"/>
    </row>
    <row r="196" spans="3:4" ht="19.95" customHeight="1" x14ac:dyDescent="0.3">
      <c r="C196" s="3"/>
      <c r="D196" s="3"/>
    </row>
    <row r="197" spans="3:4" ht="19.95" customHeight="1" x14ac:dyDescent="0.3">
      <c r="C197" s="3"/>
      <c r="D197" s="3"/>
    </row>
    <row r="198" spans="3:4" ht="19.95" customHeight="1" x14ac:dyDescent="0.3">
      <c r="C198" s="3"/>
      <c r="D198" s="3"/>
    </row>
    <row r="199" spans="3:4" ht="19.95" customHeight="1" x14ac:dyDescent="0.3">
      <c r="C199" s="3"/>
      <c r="D199" s="3"/>
    </row>
    <row r="200" spans="3:4" ht="19.95" customHeight="1" x14ac:dyDescent="0.3">
      <c r="C200" s="3"/>
      <c r="D200" s="3"/>
    </row>
    <row r="201" spans="3:4" ht="19.95" customHeight="1" x14ac:dyDescent="0.3">
      <c r="C201" s="3"/>
      <c r="D201" s="3"/>
    </row>
    <row r="202" spans="3:4" ht="19.95" customHeight="1" x14ac:dyDescent="0.3">
      <c r="C202" s="3"/>
      <c r="D202" s="3"/>
    </row>
    <row r="203" spans="3:4" ht="19.95" customHeight="1" x14ac:dyDescent="0.3">
      <c r="C203" s="3"/>
      <c r="D203" s="3"/>
    </row>
    <row r="204" spans="3:4" ht="19.95" customHeight="1" x14ac:dyDescent="0.3">
      <c r="C204" s="3"/>
      <c r="D204" s="3"/>
    </row>
    <row r="205" spans="3:4" ht="19.95" customHeight="1" x14ac:dyDescent="0.3">
      <c r="C205" s="3"/>
      <c r="D205" s="3"/>
    </row>
    <row r="206" spans="3:4" ht="19.95" customHeight="1" x14ac:dyDescent="0.3">
      <c r="C206" s="3"/>
      <c r="D206" s="3"/>
    </row>
    <row r="207" spans="3:4" ht="19.95" customHeight="1" x14ac:dyDescent="0.3">
      <c r="C207" s="3"/>
      <c r="D207" s="3"/>
    </row>
    <row r="208" spans="3:4" ht="19.95" customHeight="1" x14ac:dyDescent="0.3">
      <c r="C208" s="3"/>
      <c r="D208" s="3"/>
    </row>
    <row r="209" spans="3:4" ht="19.95" customHeight="1" x14ac:dyDescent="0.3">
      <c r="C209" s="3"/>
      <c r="D209" s="3"/>
    </row>
    <row r="210" spans="3:4" ht="19.95" customHeight="1" x14ac:dyDescent="0.3">
      <c r="C210" s="3"/>
      <c r="D210" s="3"/>
    </row>
    <row r="211" spans="3:4" ht="19.95" customHeight="1" x14ac:dyDescent="0.3">
      <c r="C211" s="3"/>
      <c r="D211" s="3"/>
    </row>
    <row r="212" spans="3:4" ht="19.95" customHeight="1" x14ac:dyDescent="0.3">
      <c r="C212" s="3"/>
      <c r="D212" s="3"/>
    </row>
    <row r="213" spans="3:4" ht="19.95" customHeight="1" x14ac:dyDescent="0.3">
      <c r="C213" s="3"/>
      <c r="D213" s="3"/>
    </row>
    <row r="214" spans="3:4" ht="19.95" customHeight="1" x14ac:dyDescent="0.3">
      <c r="C214" s="3"/>
      <c r="D214" s="3"/>
    </row>
    <row r="215" spans="3:4" ht="19.95" customHeight="1" x14ac:dyDescent="0.3">
      <c r="C215" s="3"/>
      <c r="D215" s="3"/>
    </row>
    <row r="216" spans="3:4" ht="19.95" customHeight="1" x14ac:dyDescent="0.3">
      <c r="C216" s="3"/>
      <c r="D216" s="3"/>
    </row>
    <row r="217" spans="3:4" ht="19.95" customHeight="1" x14ac:dyDescent="0.3">
      <c r="C217" s="3"/>
      <c r="D217" s="3"/>
    </row>
    <row r="218" spans="3:4" ht="19.95" customHeight="1" x14ac:dyDescent="0.3">
      <c r="C218" s="3"/>
      <c r="D218" s="3"/>
    </row>
    <row r="219" spans="3:4" ht="19.95" customHeight="1" x14ac:dyDescent="0.3">
      <c r="C219" s="3"/>
      <c r="D219" s="3"/>
    </row>
    <row r="220" spans="3:4" ht="19.95" customHeight="1" x14ac:dyDescent="0.3">
      <c r="C220" s="3"/>
      <c r="D220" s="3"/>
    </row>
    <row r="221" spans="3:4" ht="19.95" customHeight="1" x14ac:dyDescent="0.3">
      <c r="C221" s="3"/>
      <c r="D221" s="3"/>
    </row>
    <row r="222" spans="3:4" ht="19.95" customHeight="1" x14ac:dyDescent="0.3">
      <c r="C222" s="3"/>
      <c r="D222" s="3"/>
    </row>
    <row r="223" spans="3:4" ht="19.95" customHeight="1" x14ac:dyDescent="0.3">
      <c r="C223" s="3"/>
      <c r="D223" s="3"/>
    </row>
    <row r="224" spans="3:4" ht="19.95" customHeight="1" x14ac:dyDescent="0.3">
      <c r="C224" s="3"/>
      <c r="D224" s="3"/>
    </row>
    <row r="225" spans="3:4" ht="19.95" customHeight="1" x14ac:dyDescent="0.3">
      <c r="C225" s="3"/>
      <c r="D225" s="3"/>
    </row>
    <row r="226" spans="3:4" ht="19.95" customHeight="1" x14ac:dyDescent="0.3">
      <c r="C226" s="3"/>
      <c r="D226" s="3"/>
    </row>
    <row r="227" spans="3:4" ht="19.95" customHeight="1" x14ac:dyDescent="0.3">
      <c r="C227" s="3"/>
      <c r="D227" s="3"/>
    </row>
    <row r="228" spans="3:4" ht="19.95" customHeight="1" x14ac:dyDescent="0.3">
      <c r="C228" s="3"/>
      <c r="D228" s="3"/>
    </row>
    <row r="229" spans="3:4" ht="19.95" customHeight="1" x14ac:dyDescent="0.3">
      <c r="C229" s="3"/>
      <c r="D229" s="3"/>
    </row>
    <row r="230" spans="3:4" ht="19.95" customHeight="1" x14ac:dyDescent="0.3">
      <c r="C230" s="3"/>
      <c r="D230" s="3"/>
    </row>
    <row r="231" spans="3:4" ht="19.95" customHeight="1" x14ac:dyDescent="0.3">
      <c r="C231" s="3"/>
      <c r="D231" s="3"/>
    </row>
    <row r="232" spans="3:4" ht="19.95" customHeight="1" x14ac:dyDescent="0.3">
      <c r="C232" s="3"/>
      <c r="D232" s="3"/>
    </row>
    <row r="233" spans="3:4" ht="19.95" customHeight="1" x14ac:dyDescent="0.3">
      <c r="C233" s="3"/>
      <c r="D233" s="3"/>
    </row>
    <row r="234" spans="3:4" ht="19.95" customHeight="1" x14ac:dyDescent="0.3">
      <c r="C234" s="3"/>
      <c r="D234" s="3"/>
    </row>
    <row r="235" spans="3:4" ht="19.95" customHeight="1" x14ac:dyDescent="0.3">
      <c r="C235" s="3"/>
      <c r="D235" s="3"/>
    </row>
    <row r="236" spans="3:4" ht="19.95" customHeight="1" x14ac:dyDescent="0.3">
      <c r="C236" s="3"/>
      <c r="D236" s="3"/>
    </row>
    <row r="237" spans="3:4" ht="19.95" customHeight="1" x14ac:dyDescent="0.3">
      <c r="C237" s="3"/>
      <c r="D237" s="3"/>
    </row>
    <row r="238" spans="3:4" ht="19.95" customHeight="1" x14ac:dyDescent="0.3">
      <c r="C238" s="3"/>
      <c r="D238" s="3"/>
    </row>
    <row r="239" spans="3:4" ht="19.95" customHeight="1" x14ac:dyDescent="0.3">
      <c r="C239" s="3"/>
      <c r="D239" s="3"/>
    </row>
    <row r="240" spans="3:4" ht="19.95" customHeight="1" x14ac:dyDescent="0.3">
      <c r="C240" s="3"/>
      <c r="D240" s="3"/>
    </row>
    <row r="241" spans="3:4" ht="19.95" customHeight="1" x14ac:dyDescent="0.3">
      <c r="C241" s="3"/>
      <c r="D241" s="3"/>
    </row>
    <row r="242" spans="3:4" ht="19.95" customHeight="1" x14ac:dyDescent="0.3">
      <c r="C242" s="3"/>
      <c r="D242" s="3"/>
    </row>
    <row r="243" spans="3:4" ht="19.95" customHeight="1" x14ac:dyDescent="0.3">
      <c r="C243" s="3"/>
      <c r="D243" s="3"/>
    </row>
    <row r="244" spans="3:4" ht="19.95" customHeight="1" x14ac:dyDescent="0.3">
      <c r="C244" s="3"/>
      <c r="D244" s="3"/>
    </row>
    <row r="245" spans="3:4" ht="19.95" customHeight="1" x14ac:dyDescent="0.3">
      <c r="C245" s="3"/>
      <c r="D245" s="3"/>
    </row>
    <row r="246" spans="3:4" ht="19.95" customHeight="1" x14ac:dyDescent="0.3">
      <c r="C246" s="3"/>
      <c r="D246" s="3"/>
    </row>
    <row r="247" spans="3:4" ht="19.95" customHeight="1" x14ac:dyDescent="0.3">
      <c r="C247" s="3"/>
      <c r="D247" s="3"/>
    </row>
    <row r="248" spans="3:4" ht="19.95" customHeight="1" x14ac:dyDescent="0.3">
      <c r="C248" s="3"/>
      <c r="D248" s="3"/>
    </row>
    <row r="249" spans="3:4" ht="19.95" customHeight="1" x14ac:dyDescent="0.3">
      <c r="C249" s="3"/>
      <c r="D249" s="3"/>
    </row>
    <row r="250" spans="3:4" ht="19.95" customHeight="1" x14ac:dyDescent="0.3">
      <c r="C250" s="3"/>
      <c r="D250" s="3"/>
    </row>
    <row r="251" spans="3:4" ht="19.95" customHeight="1" x14ac:dyDescent="0.3">
      <c r="C251" s="3"/>
      <c r="D251" s="3"/>
    </row>
    <row r="252" spans="3:4" ht="19.95" customHeight="1" x14ac:dyDescent="0.3">
      <c r="C252" s="3"/>
      <c r="D252" s="3"/>
    </row>
    <row r="253" spans="3:4" ht="19.95" customHeight="1" x14ac:dyDescent="0.3">
      <c r="C253" s="3"/>
      <c r="D253" s="3"/>
    </row>
    <row r="254" spans="3:4" ht="19.95" customHeight="1" x14ac:dyDescent="0.3">
      <c r="C254" s="3"/>
      <c r="D254" s="3"/>
    </row>
    <row r="255" spans="3:4" ht="19.95" customHeight="1" x14ac:dyDescent="0.3">
      <c r="C255" s="3"/>
      <c r="D255" s="3"/>
    </row>
    <row r="256" spans="3:4" ht="19.95" customHeight="1" x14ac:dyDescent="0.3">
      <c r="C256" s="3"/>
      <c r="D256" s="3"/>
    </row>
    <row r="257" spans="3:4" ht="19.95" customHeight="1" x14ac:dyDescent="0.3">
      <c r="C257" s="3"/>
      <c r="D257" s="3"/>
    </row>
    <row r="258" spans="3:4" ht="19.95" customHeight="1" x14ac:dyDescent="0.3">
      <c r="C258" s="3"/>
      <c r="D258" s="3"/>
    </row>
    <row r="259" spans="3:4" ht="19.95" customHeight="1" x14ac:dyDescent="0.3">
      <c r="C259" s="3"/>
      <c r="D259" s="3"/>
    </row>
    <row r="260" spans="3:4" ht="19.95" customHeight="1" x14ac:dyDescent="0.3">
      <c r="C260" s="3"/>
      <c r="D260" s="3"/>
    </row>
    <row r="261" spans="3:4" ht="19.95" customHeight="1" x14ac:dyDescent="0.3">
      <c r="C261" s="3"/>
      <c r="D261" s="3"/>
    </row>
    <row r="262" spans="3:4" ht="19.95" customHeight="1" x14ac:dyDescent="0.3">
      <c r="C262" s="3"/>
      <c r="D262" s="3"/>
    </row>
    <row r="263" spans="3:4" ht="19.95" customHeight="1" x14ac:dyDescent="0.3">
      <c r="C263" s="3"/>
      <c r="D263" s="3"/>
    </row>
    <row r="264" spans="3:4" ht="19.95" customHeight="1" x14ac:dyDescent="0.3">
      <c r="C264" s="3"/>
      <c r="D264" s="3"/>
    </row>
    <row r="265" spans="3:4" ht="19.95" customHeight="1" x14ac:dyDescent="0.3">
      <c r="C265" s="3"/>
      <c r="D265" s="3"/>
    </row>
    <row r="266" spans="3:4" ht="19.95" customHeight="1" x14ac:dyDescent="0.3">
      <c r="C266" s="3"/>
      <c r="D266" s="3"/>
    </row>
    <row r="267" spans="3:4" ht="19.95" customHeight="1" x14ac:dyDescent="0.3">
      <c r="C267" s="3"/>
      <c r="D267" s="3"/>
    </row>
    <row r="268" spans="3:4" ht="19.95" customHeight="1" x14ac:dyDescent="0.3">
      <c r="C268" s="3"/>
      <c r="D268" s="3"/>
    </row>
    <row r="269" spans="3:4" ht="19.95" customHeight="1" x14ac:dyDescent="0.3">
      <c r="C269" s="3"/>
      <c r="D269" s="3"/>
    </row>
    <row r="270" spans="3:4" ht="19.95" customHeight="1" x14ac:dyDescent="0.3">
      <c r="C270" s="3"/>
      <c r="D270" s="3"/>
    </row>
    <row r="271" spans="3:4" ht="19.95" customHeight="1" x14ac:dyDescent="0.3">
      <c r="C271" s="3"/>
      <c r="D271" s="3"/>
    </row>
    <row r="272" spans="3:4" ht="19.95" customHeight="1" x14ac:dyDescent="0.3">
      <c r="C272" s="3"/>
      <c r="D272" s="3"/>
    </row>
    <row r="273" spans="3:4" ht="19.95" customHeight="1" x14ac:dyDescent="0.3">
      <c r="C273" s="3"/>
      <c r="D273" s="3"/>
    </row>
    <row r="274" spans="3:4" ht="19.95" customHeight="1" x14ac:dyDescent="0.3">
      <c r="C274" s="3"/>
      <c r="D274" s="3"/>
    </row>
    <row r="275" spans="3:4" ht="19.95" customHeight="1" x14ac:dyDescent="0.3">
      <c r="C275" s="3"/>
      <c r="D275" s="3"/>
    </row>
    <row r="276" spans="3:4" ht="19.95" customHeight="1" x14ac:dyDescent="0.3">
      <c r="C276" s="3"/>
      <c r="D276" s="3"/>
    </row>
    <row r="277" spans="3:4" ht="19.95" customHeight="1" x14ac:dyDescent="0.3">
      <c r="C277" s="3"/>
      <c r="D277" s="3"/>
    </row>
    <row r="278" spans="3:4" ht="19.95" customHeight="1" x14ac:dyDescent="0.3">
      <c r="C278" s="3"/>
      <c r="D278" s="3"/>
    </row>
    <row r="279" spans="3:4" ht="19.95" customHeight="1" x14ac:dyDescent="0.3">
      <c r="C279" s="3"/>
      <c r="D279" s="3"/>
    </row>
    <row r="280" spans="3:4" ht="19.95" customHeight="1" x14ac:dyDescent="0.3">
      <c r="C280" s="3"/>
      <c r="D280" s="3"/>
    </row>
    <row r="281" spans="3:4" ht="19.95" customHeight="1" x14ac:dyDescent="0.3">
      <c r="C281" s="3"/>
      <c r="D281" s="3"/>
    </row>
    <row r="282" spans="3:4" ht="19.95" customHeight="1" x14ac:dyDescent="0.3">
      <c r="C282" s="3"/>
      <c r="D282" s="3"/>
    </row>
    <row r="283" spans="3:4" ht="19.95" customHeight="1" x14ac:dyDescent="0.3">
      <c r="C283" s="3"/>
      <c r="D283" s="3"/>
    </row>
    <row r="284" spans="3:4" ht="19.95" customHeight="1" x14ac:dyDescent="0.3">
      <c r="C284" s="3"/>
      <c r="D284" s="3"/>
    </row>
    <row r="285" spans="3:4" ht="19.95" customHeight="1" x14ac:dyDescent="0.3">
      <c r="C285" s="3"/>
      <c r="D285" s="3"/>
    </row>
    <row r="286" spans="3:4" ht="19.95" customHeight="1" x14ac:dyDescent="0.3">
      <c r="C286" s="3"/>
      <c r="D286" s="3"/>
    </row>
    <row r="287" spans="3:4" ht="19.95" customHeight="1" x14ac:dyDescent="0.3">
      <c r="C287" s="3"/>
      <c r="D287" s="3"/>
    </row>
    <row r="288" spans="3:4" ht="19.95" customHeight="1" x14ac:dyDescent="0.3">
      <c r="C288" s="3"/>
      <c r="D288" s="3"/>
    </row>
    <row r="289" spans="3:4" ht="19.95" customHeight="1" x14ac:dyDescent="0.3">
      <c r="C289" s="3"/>
      <c r="D289" s="3"/>
    </row>
    <row r="290" spans="3:4" ht="19.95" customHeight="1" x14ac:dyDescent="0.3">
      <c r="C290" s="3"/>
      <c r="D290" s="3"/>
    </row>
    <row r="291" spans="3:4" ht="19.95" customHeight="1" x14ac:dyDescent="0.3">
      <c r="C291" s="3"/>
      <c r="D291" s="3"/>
    </row>
    <row r="292" spans="3:4" ht="19.95" customHeight="1" x14ac:dyDescent="0.3">
      <c r="C292" s="3"/>
      <c r="D292" s="3"/>
    </row>
    <row r="293" spans="3:4" ht="19.95" customHeight="1" x14ac:dyDescent="0.3">
      <c r="C293" s="3"/>
      <c r="D293" s="3"/>
    </row>
    <row r="294" spans="3:4" ht="19.95" customHeight="1" x14ac:dyDescent="0.3">
      <c r="C294" s="3"/>
      <c r="D294" s="3"/>
    </row>
    <row r="295" spans="3:4" ht="19.95" customHeight="1" x14ac:dyDescent="0.3">
      <c r="C295" s="3"/>
      <c r="D295" s="3"/>
    </row>
    <row r="296" spans="3:4" ht="19.95" customHeight="1" x14ac:dyDescent="0.3">
      <c r="C296" s="3"/>
      <c r="D296" s="3"/>
    </row>
    <row r="297" spans="3:4" ht="19.95" customHeight="1" x14ac:dyDescent="0.3">
      <c r="C297" s="3"/>
      <c r="D297" s="3"/>
    </row>
    <row r="298" spans="3:4" ht="19.95" customHeight="1" x14ac:dyDescent="0.3">
      <c r="C298" s="3"/>
      <c r="D298" s="3"/>
    </row>
    <row r="299" spans="3:4" ht="19.95" customHeight="1" x14ac:dyDescent="0.3">
      <c r="C299" s="3"/>
      <c r="D299" s="3"/>
    </row>
    <row r="300" spans="3:4" ht="19.95" customHeight="1" x14ac:dyDescent="0.3">
      <c r="C300" s="3"/>
      <c r="D300" s="3"/>
    </row>
    <row r="301" spans="3:4" ht="19.95" customHeight="1" x14ac:dyDescent="0.3">
      <c r="C301" s="3"/>
      <c r="D301" s="3"/>
    </row>
    <row r="302" spans="3:4" ht="19.95" customHeight="1" x14ac:dyDescent="0.3">
      <c r="C302" s="3"/>
      <c r="D302" s="3"/>
    </row>
    <row r="303" spans="3:4" ht="19.95" customHeight="1" x14ac:dyDescent="0.3">
      <c r="C303" s="3"/>
      <c r="D303" s="3"/>
    </row>
    <row r="304" spans="3:4" ht="19.95" customHeight="1" x14ac:dyDescent="0.3">
      <c r="C304" s="3"/>
      <c r="D304" s="3"/>
    </row>
    <row r="305" spans="3:4" ht="19.95" customHeight="1" x14ac:dyDescent="0.3">
      <c r="C305" s="3"/>
      <c r="D305" s="3"/>
    </row>
    <row r="306" spans="3:4" ht="19.95" customHeight="1" x14ac:dyDescent="0.3">
      <c r="C306" s="3"/>
      <c r="D306" s="3"/>
    </row>
    <row r="307" spans="3:4" ht="19.95" customHeight="1" x14ac:dyDescent="0.3">
      <c r="C307" s="3"/>
      <c r="D307" s="3"/>
    </row>
    <row r="308" spans="3:4" ht="19.95" customHeight="1" x14ac:dyDescent="0.3">
      <c r="C308" s="3"/>
      <c r="D308" s="3"/>
    </row>
    <row r="309" spans="3:4" ht="19.95" customHeight="1" x14ac:dyDescent="0.3">
      <c r="C309" s="3"/>
      <c r="D309" s="3"/>
    </row>
    <row r="310" spans="3:4" ht="19.95" customHeight="1" x14ac:dyDescent="0.3">
      <c r="C310" s="3"/>
      <c r="D310" s="3"/>
    </row>
    <row r="311" spans="3:4" ht="19.95" customHeight="1" x14ac:dyDescent="0.3">
      <c r="C311" s="3"/>
      <c r="D311" s="3"/>
    </row>
    <row r="312" spans="3:4" ht="19.95" customHeight="1" x14ac:dyDescent="0.3">
      <c r="C312" s="3"/>
      <c r="D312" s="3"/>
    </row>
    <row r="313" spans="3:4" ht="19.95" customHeight="1" x14ac:dyDescent="0.3">
      <c r="C313" s="3"/>
      <c r="D313" s="3"/>
    </row>
    <row r="314" spans="3:4" ht="19.95" customHeight="1" x14ac:dyDescent="0.3">
      <c r="C314" s="3"/>
      <c r="D314" s="3"/>
    </row>
    <row r="315" spans="3:4" ht="19.95" customHeight="1" x14ac:dyDescent="0.3">
      <c r="C315" s="3"/>
      <c r="D315" s="3"/>
    </row>
    <row r="316" spans="3:4" ht="19.95" customHeight="1" x14ac:dyDescent="0.3">
      <c r="C316" s="3"/>
      <c r="D316" s="3"/>
    </row>
    <row r="317" spans="3:4" ht="19.95" customHeight="1" x14ac:dyDescent="0.3">
      <c r="C317" s="3"/>
      <c r="D317" s="3"/>
    </row>
    <row r="318" spans="3:4" ht="19.95" customHeight="1" x14ac:dyDescent="0.3">
      <c r="C318" s="3"/>
      <c r="D318" s="3"/>
    </row>
    <row r="319" spans="3:4" ht="19.95" customHeight="1" x14ac:dyDescent="0.3">
      <c r="C319" s="3"/>
      <c r="D319" s="3"/>
    </row>
    <row r="320" spans="3:4" ht="19.95" customHeight="1" x14ac:dyDescent="0.3">
      <c r="C320" s="3"/>
      <c r="D320" s="3"/>
    </row>
    <row r="321" spans="3:4" ht="19.95" customHeight="1" x14ac:dyDescent="0.3">
      <c r="C321" s="3"/>
      <c r="D321" s="3"/>
    </row>
    <row r="322" spans="3:4" ht="19.95" customHeight="1" x14ac:dyDescent="0.3">
      <c r="C322" s="3"/>
      <c r="D322" s="3"/>
    </row>
    <row r="323" spans="3:4" ht="19.95" customHeight="1" x14ac:dyDescent="0.3">
      <c r="C323" s="3"/>
      <c r="D323" s="3"/>
    </row>
    <row r="324" spans="3:4" ht="19.95" customHeight="1" x14ac:dyDescent="0.3">
      <c r="C324" s="3"/>
      <c r="D324" s="3"/>
    </row>
    <row r="325" spans="3:4" ht="19.95" customHeight="1" x14ac:dyDescent="0.3">
      <c r="C325" s="3"/>
      <c r="D325" s="3"/>
    </row>
    <row r="326" spans="3:4" ht="19.95" customHeight="1" x14ac:dyDescent="0.3">
      <c r="C326" s="3"/>
      <c r="D326" s="3"/>
    </row>
    <row r="327" spans="3:4" ht="19.95" customHeight="1" x14ac:dyDescent="0.3">
      <c r="C327" s="3"/>
      <c r="D327" s="3"/>
    </row>
    <row r="328" spans="3:4" ht="19.95" customHeight="1" x14ac:dyDescent="0.3">
      <c r="C328" s="3"/>
      <c r="D328" s="3"/>
    </row>
    <row r="329" spans="3:4" ht="19.95" customHeight="1" x14ac:dyDescent="0.3">
      <c r="C329" s="3"/>
      <c r="D329" s="3"/>
    </row>
    <row r="330" spans="3:4" ht="19.95" customHeight="1" x14ac:dyDescent="0.3">
      <c r="C330" s="3"/>
      <c r="D330" s="3"/>
    </row>
    <row r="331" spans="3:4" ht="19.95" customHeight="1" x14ac:dyDescent="0.3">
      <c r="C331" s="3"/>
      <c r="D331" s="3"/>
    </row>
    <row r="332" spans="3:4" ht="19.95" customHeight="1" x14ac:dyDescent="0.3">
      <c r="C332" s="3"/>
      <c r="D332" s="3"/>
    </row>
    <row r="333" spans="3:4" ht="19.95" customHeight="1" x14ac:dyDescent="0.3">
      <c r="C333" s="3"/>
      <c r="D333" s="3"/>
    </row>
    <row r="334" spans="3:4" ht="19.95" customHeight="1" x14ac:dyDescent="0.3">
      <c r="C334" s="3"/>
      <c r="D334" s="3"/>
    </row>
    <row r="335" spans="3:4" ht="19.95" customHeight="1" x14ac:dyDescent="0.3">
      <c r="C335" s="3"/>
      <c r="D335" s="3"/>
    </row>
    <row r="336" spans="3:4" ht="19.95" customHeight="1" x14ac:dyDescent="0.3">
      <c r="C336" s="3"/>
      <c r="D336" s="3"/>
    </row>
    <row r="337" spans="3:4" ht="19.95" customHeight="1" x14ac:dyDescent="0.3">
      <c r="C337" s="3"/>
      <c r="D337" s="3"/>
    </row>
    <row r="338" spans="3:4" ht="19.95" customHeight="1" x14ac:dyDescent="0.3">
      <c r="C338" s="3"/>
      <c r="D338" s="3"/>
    </row>
    <row r="339" spans="3:4" ht="19.95" customHeight="1" x14ac:dyDescent="0.3">
      <c r="C339" s="3"/>
      <c r="D339" s="3"/>
    </row>
    <row r="340" spans="3:4" ht="19.95" customHeight="1" x14ac:dyDescent="0.3">
      <c r="C340" s="3"/>
      <c r="D340" s="3"/>
    </row>
    <row r="341" spans="3:4" ht="19.95" customHeight="1" x14ac:dyDescent="0.3">
      <c r="C341" s="3"/>
      <c r="D341" s="3"/>
    </row>
    <row r="342" spans="3:4" ht="19.95" customHeight="1" x14ac:dyDescent="0.3">
      <c r="C342" s="3"/>
      <c r="D342" s="3"/>
    </row>
    <row r="343" spans="3:4" ht="19.95" customHeight="1" x14ac:dyDescent="0.3">
      <c r="C343" s="3"/>
      <c r="D343" s="3"/>
    </row>
    <row r="344" spans="3:4" ht="19.95" customHeight="1" x14ac:dyDescent="0.3">
      <c r="C344" s="3"/>
      <c r="D344" s="3"/>
    </row>
    <row r="345" spans="3:4" ht="19.95" customHeight="1" x14ac:dyDescent="0.3">
      <c r="C345" s="3"/>
      <c r="D345" s="3"/>
    </row>
    <row r="346" spans="3:4" ht="19.95" customHeight="1" x14ac:dyDescent="0.3">
      <c r="C346" s="3"/>
      <c r="D346" s="3"/>
    </row>
    <row r="347" spans="3:4" ht="19.95" customHeight="1" x14ac:dyDescent="0.3">
      <c r="C347" s="3"/>
      <c r="D347" s="3"/>
    </row>
    <row r="348" spans="3:4" ht="19.95" customHeight="1" x14ac:dyDescent="0.3">
      <c r="C348" s="3"/>
      <c r="D348" s="3"/>
    </row>
    <row r="349" spans="3:4" ht="19.95" customHeight="1" x14ac:dyDescent="0.3">
      <c r="C349" s="3"/>
      <c r="D349" s="3"/>
    </row>
    <row r="350" spans="3:4" ht="19.95" customHeight="1" x14ac:dyDescent="0.3">
      <c r="C350" s="3"/>
      <c r="D350" s="3"/>
    </row>
    <row r="351" spans="3:4" ht="19.95" customHeight="1" x14ac:dyDescent="0.3">
      <c r="C351" s="3"/>
      <c r="D351" s="3"/>
    </row>
    <row r="352" spans="3:4" ht="19.95" customHeight="1" x14ac:dyDescent="0.3">
      <c r="C352" s="3"/>
      <c r="D352" s="3"/>
    </row>
    <row r="353" spans="3:4" ht="19.95" customHeight="1" x14ac:dyDescent="0.3">
      <c r="C353" s="3"/>
      <c r="D353" s="3"/>
    </row>
    <row r="354" spans="3:4" ht="19.95" customHeight="1" x14ac:dyDescent="0.3">
      <c r="C354" s="3"/>
      <c r="D354" s="3"/>
    </row>
    <row r="355" spans="3:4" ht="19.95" customHeight="1" x14ac:dyDescent="0.3">
      <c r="C355" s="3"/>
      <c r="D355" s="3"/>
    </row>
    <row r="356" spans="3:4" ht="19.95" customHeight="1" x14ac:dyDescent="0.3">
      <c r="C356" s="3"/>
      <c r="D356" s="3"/>
    </row>
    <row r="357" spans="3:4" ht="19.95" customHeight="1" x14ac:dyDescent="0.3">
      <c r="C357" s="3"/>
      <c r="D357" s="3"/>
    </row>
    <row r="358" spans="3:4" ht="19.95" customHeight="1" x14ac:dyDescent="0.3">
      <c r="C358" s="3"/>
      <c r="D358" s="3"/>
    </row>
    <row r="359" spans="3:4" ht="19.95" customHeight="1" x14ac:dyDescent="0.3">
      <c r="C359" s="3"/>
      <c r="D359" s="3"/>
    </row>
    <row r="360" spans="3:4" ht="19.95" customHeight="1" x14ac:dyDescent="0.3">
      <c r="C360" s="3"/>
      <c r="D360" s="3"/>
    </row>
    <row r="361" spans="3:4" ht="19.95" customHeight="1" x14ac:dyDescent="0.3">
      <c r="C361" s="3"/>
      <c r="D361" s="3"/>
    </row>
    <row r="362" spans="3:4" ht="19.95" customHeight="1" x14ac:dyDescent="0.3">
      <c r="C362" s="3"/>
      <c r="D362" s="3"/>
    </row>
    <row r="363" spans="3:4" ht="19.95" customHeight="1" x14ac:dyDescent="0.3">
      <c r="C363" s="3"/>
      <c r="D363" s="3"/>
    </row>
    <row r="364" spans="3:4" ht="19.95" customHeight="1" x14ac:dyDescent="0.3">
      <c r="C364" s="3"/>
      <c r="D364" s="3"/>
    </row>
    <row r="365" spans="3:4" ht="19.95" customHeight="1" x14ac:dyDescent="0.3">
      <c r="C365" s="3"/>
      <c r="D365" s="3"/>
    </row>
    <row r="366" spans="3:4" ht="19.95" customHeight="1" x14ac:dyDescent="0.3">
      <c r="C366" s="3"/>
      <c r="D366" s="3"/>
    </row>
    <row r="367" spans="3:4" ht="19.95" customHeight="1" x14ac:dyDescent="0.3">
      <c r="C367" s="3"/>
      <c r="D367" s="3"/>
    </row>
    <row r="368" spans="3:4" ht="19.95" customHeight="1" x14ac:dyDescent="0.3">
      <c r="C368" s="3"/>
      <c r="D368" s="3"/>
    </row>
    <row r="369" spans="3:4" ht="19.95" customHeight="1" x14ac:dyDescent="0.3">
      <c r="C369" s="3"/>
      <c r="D369" s="3"/>
    </row>
    <row r="370" spans="3:4" ht="19.95" customHeight="1" x14ac:dyDescent="0.3">
      <c r="C370" s="3"/>
      <c r="D370" s="3"/>
    </row>
    <row r="371" spans="3:4" ht="19.95" customHeight="1" x14ac:dyDescent="0.3">
      <c r="C371" s="3"/>
      <c r="D371" s="3"/>
    </row>
    <row r="372" spans="3:4" ht="19.95" customHeight="1" x14ac:dyDescent="0.3">
      <c r="C372" s="3"/>
      <c r="D372" s="3"/>
    </row>
    <row r="373" spans="3:4" ht="19.95" customHeight="1" x14ac:dyDescent="0.3">
      <c r="C373" s="3"/>
      <c r="D373" s="3"/>
    </row>
    <row r="374" spans="3:4" ht="19.95" customHeight="1" x14ac:dyDescent="0.3">
      <c r="C374" s="3"/>
      <c r="D374" s="3"/>
    </row>
    <row r="375" spans="3:4" ht="19.95" customHeight="1" x14ac:dyDescent="0.3">
      <c r="C375" s="3"/>
      <c r="D375" s="3"/>
    </row>
    <row r="376" spans="3:4" ht="19.95" customHeight="1" x14ac:dyDescent="0.3">
      <c r="C376" s="3"/>
      <c r="D376" s="3"/>
    </row>
    <row r="377" spans="3:4" ht="19.95" customHeight="1" x14ac:dyDescent="0.3">
      <c r="C377" s="3"/>
      <c r="D377" s="3"/>
    </row>
    <row r="378" spans="3:4" ht="19.95" customHeight="1" x14ac:dyDescent="0.3">
      <c r="C378" s="3"/>
      <c r="D378" s="3"/>
    </row>
    <row r="379" spans="3:4" ht="19.95" customHeight="1" x14ac:dyDescent="0.3">
      <c r="C379" s="3"/>
      <c r="D379" s="3"/>
    </row>
    <row r="380" spans="3:4" ht="19.95" customHeight="1" x14ac:dyDescent="0.3">
      <c r="C380" s="3"/>
      <c r="D380" s="3"/>
    </row>
    <row r="381" spans="3:4" ht="19.95" customHeight="1" x14ac:dyDescent="0.3">
      <c r="C381" s="3"/>
      <c r="D381" s="3"/>
    </row>
    <row r="382" spans="3:4" ht="19.95" customHeight="1" x14ac:dyDescent="0.3">
      <c r="C382" s="3"/>
      <c r="D382" s="3"/>
    </row>
    <row r="383" spans="3:4" ht="19.95" customHeight="1" x14ac:dyDescent="0.3">
      <c r="C383" s="3"/>
      <c r="D383" s="3"/>
    </row>
    <row r="384" spans="3:4" ht="19.95" customHeight="1" x14ac:dyDescent="0.3">
      <c r="C384" s="3"/>
      <c r="D384" s="3"/>
    </row>
    <row r="385" spans="3:4" ht="19.95" customHeight="1" x14ac:dyDescent="0.3">
      <c r="C385" s="3"/>
      <c r="D385" s="3"/>
    </row>
    <row r="386" spans="3:4" ht="19.95" customHeight="1" x14ac:dyDescent="0.3">
      <c r="C386" s="3"/>
      <c r="D386" s="3"/>
    </row>
    <row r="387" spans="3:4" ht="19.95" customHeight="1" x14ac:dyDescent="0.3">
      <c r="C387" s="3"/>
      <c r="D387" s="3"/>
    </row>
    <row r="388" spans="3:4" ht="19.95" customHeight="1" x14ac:dyDescent="0.3">
      <c r="C388" s="3"/>
      <c r="D388" s="3"/>
    </row>
    <row r="389" spans="3:4" ht="19.95" customHeight="1" x14ac:dyDescent="0.3">
      <c r="C389" s="3"/>
      <c r="D389" s="3"/>
    </row>
    <row r="390" spans="3:4" ht="19.95" customHeight="1" x14ac:dyDescent="0.3">
      <c r="C390" s="3"/>
      <c r="D390" s="3"/>
    </row>
    <row r="391" spans="3:4" ht="19.95" customHeight="1" x14ac:dyDescent="0.3">
      <c r="C391" s="3"/>
      <c r="D391" s="3"/>
    </row>
    <row r="392" spans="3:4" ht="19.95" customHeight="1" x14ac:dyDescent="0.3">
      <c r="C392" s="3"/>
      <c r="D392" s="3"/>
    </row>
    <row r="393" spans="3:4" ht="19.95" customHeight="1" x14ac:dyDescent="0.3">
      <c r="C393" s="3"/>
      <c r="D393" s="3"/>
    </row>
    <row r="394" spans="3:4" ht="19.95" customHeight="1" x14ac:dyDescent="0.3">
      <c r="C394" s="3"/>
      <c r="D394" s="3"/>
    </row>
    <row r="395" spans="3:4" ht="19.95" customHeight="1" x14ac:dyDescent="0.3">
      <c r="C395" s="3"/>
      <c r="D395" s="3"/>
    </row>
    <row r="396" spans="3:4" ht="19.95" customHeight="1" x14ac:dyDescent="0.3">
      <c r="C396" s="3"/>
      <c r="D396" s="3"/>
    </row>
    <row r="397" spans="3:4" ht="19.95" customHeight="1" x14ac:dyDescent="0.3">
      <c r="C397" s="3"/>
      <c r="D397" s="3"/>
    </row>
    <row r="398" spans="3:4" ht="19.95" customHeight="1" x14ac:dyDescent="0.3">
      <c r="C398" s="3"/>
      <c r="D398" s="3"/>
    </row>
    <row r="399" spans="3:4" ht="19.95" customHeight="1" x14ac:dyDescent="0.3">
      <c r="C399" s="3"/>
      <c r="D399" s="3"/>
    </row>
    <row r="400" spans="3:4" ht="19.95" customHeight="1" x14ac:dyDescent="0.3">
      <c r="C400" s="3"/>
      <c r="D400" s="3"/>
    </row>
    <row r="401" spans="3:4" ht="19.95" customHeight="1" x14ac:dyDescent="0.3">
      <c r="C401" s="3"/>
      <c r="D401" s="3"/>
    </row>
    <row r="402" spans="3:4" ht="19.95" customHeight="1" x14ac:dyDescent="0.3">
      <c r="C402" s="3"/>
      <c r="D402" s="3"/>
    </row>
    <row r="403" spans="3:4" ht="19.95" customHeight="1" x14ac:dyDescent="0.3">
      <c r="C403" s="3"/>
      <c r="D403" s="3"/>
    </row>
    <row r="404" spans="3:4" ht="19.95" customHeight="1" x14ac:dyDescent="0.3">
      <c r="C404" s="3"/>
      <c r="D404" s="3"/>
    </row>
    <row r="405" spans="3:4" ht="19.95" customHeight="1" x14ac:dyDescent="0.3">
      <c r="C405" s="3"/>
      <c r="D405" s="3"/>
    </row>
    <row r="406" spans="3:4" ht="19.95" customHeight="1" x14ac:dyDescent="0.3">
      <c r="C406" s="3"/>
      <c r="D406" s="3"/>
    </row>
    <row r="407" spans="3:4" ht="19.95" customHeight="1" x14ac:dyDescent="0.3">
      <c r="C407" s="3"/>
      <c r="D407" s="3"/>
    </row>
    <row r="408" spans="3:4" ht="19.95" customHeight="1" x14ac:dyDescent="0.3">
      <c r="C408" s="3"/>
      <c r="D408" s="3"/>
    </row>
    <row r="409" spans="3:4" ht="19.95" customHeight="1" x14ac:dyDescent="0.3">
      <c r="C409" s="3"/>
      <c r="D409" s="3"/>
    </row>
    <row r="410" spans="3:4" ht="19.95" customHeight="1" x14ac:dyDescent="0.3">
      <c r="C410" s="3"/>
      <c r="D410" s="3"/>
    </row>
    <row r="411" spans="3:4" ht="19.95" customHeight="1" x14ac:dyDescent="0.3">
      <c r="C411" s="3"/>
      <c r="D411" s="3"/>
    </row>
    <row r="412" spans="3:4" ht="19.95" customHeight="1" x14ac:dyDescent="0.3">
      <c r="C412" s="3"/>
      <c r="D412" s="3"/>
    </row>
    <row r="413" spans="3:4" ht="19.95" customHeight="1" x14ac:dyDescent="0.3">
      <c r="C413" s="3"/>
      <c r="D413" s="3"/>
    </row>
    <row r="414" spans="3:4" ht="19.95" customHeight="1" x14ac:dyDescent="0.3">
      <c r="C414" s="3"/>
      <c r="D414" s="3"/>
    </row>
    <row r="415" spans="3:4" ht="19.95" customHeight="1" x14ac:dyDescent="0.3">
      <c r="C415" s="3"/>
      <c r="D415" s="3"/>
    </row>
    <row r="416" spans="3:4" ht="19.95" customHeight="1" x14ac:dyDescent="0.3">
      <c r="C416" s="3"/>
      <c r="D416" s="3"/>
    </row>
    <row r="417" spans="3:4" ht="19.95" customHeight="1" x14ac:dyDescent="0.3">
      <c r="C417" s="3"/>
      <c r="D417" s="3"/>
    </row>
    <row r="418" spans="3:4" ht="19.95" customHeight="1" x14ac:dyDescent="0.3">
      <c r="C418" s="3"/>
      <c r="D418" s="3"/>
    </row>
    <row r="419" spans="3:4" ht="19.95" customHeight="1" x14ac:dyDescent="0.3">
      <c r="C419" s="3"/>
      <c r="D419" s="3"/>
    </row>
    <row r="420" spans="3:4" ht="19.95" customHeight="1" x14ac:dyDescent="0.3">
      <c r="C420" s="3"/>
      <c r="D420" s="3"/>
    </row>
    <row r="421" spans="3:4" ht="19.95" customHeight="1" x14ac:dyDescent="0.3">
      <c r="C421" s="3"/>
      <c r="D421" s="3"/>
    </row>
    <row r="422" spans="3:4" ht="19.95" customHeight="1" x14ac:dyDescent="0.3">
      <c r="C422" s="3"/>
      <c r="D422" s="3"/>
    </row>
    <row r="423" spans="3:4" ht="19.95" customHeight="1" x14ac:dyDescent="0.3">
      <c r="C423" s="3"/>
      <c r="D423" s="3"/>
    </row>
    <row r="424" spans="3:4" ht="19.95" customHeight="1" x14ac:dyDescent="0.3">
      <c r="C424" s="3"/>
      <c r="D424" s="3"/>
    </row>
    <row r="425" spans="3:4" ht="19.95" customHeight="1" x14ac:dyDescent="0.3">
      <c r="C425" s="3"/>
      <c r="D425" s="3"/>
    </row>
    <row r="426" spans="3:4" ht="19.95" customHeight="1" x14ac:dyDescent="0.3">
      <c r="C426" s="3"/>
      <c r="D426" s="3"/>
    </row>
    <row r="427" spans="3:4" ht="19.95" customHeight="1" x14ac:dyDescent="0.3">
      <c r="C427" s="3"/>
      <c r="D427" s="3"/>
    </row>
    <row r="428" spans="3:4" ht="19.95" customHeight="1" x14ac:dyDescent="0.3">
      <c r="C428" s="3"/>
      <c r="D428" s="3"/>
    </row>
    <row r="429" spans="3:4" ht="19.95" customHeight="1" x14ac:dyDescent="0.3">
      <c r="C429" s="3"/>
      <c r="D429" s="3"/>
    </row>
    <row r="430" spans="3:4" ht="19.95" customHeight="1" x14ac:dyDescent="0.3">
      <c r="C430" s="3"/>
      <c r="D430" s="3"/>
    </row>
    <row r="431" spans="3:4" ht="19.95" customHeight="1" x14ac:dyDescent="0.3">
      <c r="C431" s="3"/>
      <c r="D431" s="3"/>
    </row>
    <row r="432" spans="3:4" ht="19.95" customHeight="1" x14ac:dyDescent="0.3">
      <c r="C432" s="3"/>
      <c r="D432" s="3"/>
    </row>
    <row r="433" spans="3:4" ht="19.95" customHeight="1" x14ac:dyDescent="0.3">
      <c r="C433" s="3"/>
      <c r="D433" s="3"/>
    </row>
    <row r="434" spans="3:4" ht="19.95" customHeight="1" x14ac:dyDescent="0.3">
      <c r="C434" s="3"/>
      <c r="D434" s="3"/>
    </row>
    <row r="435" spans="3:4" ht="19.95" customHeight="1" x14ac:dyDescent="0.3">
      <c r="C435" s="3"/>
      <c r="D435" s="3"/>
    </row>
    <row r="436" spans="3:4" ht="19.95" customHeight="1" x14ac:dyDescent="0.3">
      <c r="C436" s="3"/>
      <c r="D436" s="3"/>
    </row>
    <row r="437" spans="3:4" ht="19.95" customHeight="1" x14ac:dyDescent="0.3">
      <c r="C437" s="3"/>
      <c r="D437" s="3"/>
    </row>
    <row r="438" spans="3:4" ht="19.95" customHeight="1" x14ac:dyDescent="0.3">
      <c r="C438" s="3"/>
      <c r="D438" s="3"/>
    </row>
    <row r="439" spans="3:4" ht="19.95" customHeight="1" x14ac:dyDescent="0.3">
      <c r="C439" s="3"/>
      <c r="D439" s="3"/>
    </row>
    <row r="440" spans="3:4" ht="19.95" customHeight="1" x14ac:dyDescent="0.3">
      <c r="C440" s="3"/>
      <c r="D440" s="3"/>
    </row>
    <row r="441" spans="3:4" ht="19.95" customHeight="1" x14ac:dyDescent="0.3">
      <c r="C441" s="3"/>
      <c r="D441" s="3"/>
    </row>
    <row r="442" spans="3:4" ht="19.95" customHeight="1" x14ac:dyDescent="0.3">
      <c r="C442" s="3"/>
      <c r="D442" s="3"/>
    </row>
    <row r="443" spans="3:4" ht="19.95" customHeight="1" x14ac:dyDescent="0.3">
      <c r="C443" s="3"/>
      <c r="D443" s="3"/>
    </row>
    <row r="444" spans="3:4" ht="19.95" customHeight="1" x14ac:dyDescent="0.3">
      <c r="C444" s="3"/>
      <c r="D444" s="3"/>
    </row>
    <row r="445" spans="3:4" ht="19.95" customHeight="1" x14ac:dyDescent="0.3">
      <c r="C445" s="3"/>
      <c r="D445" s="3"/>
    </row>
    <row r="446" spans="3:4" ht="19.95" customHeight="1" x14ac:dyDescent="0.3">
      <c r="C446" s="3"/>
      <c r="D446" s="3"/>
    </row>
    <row r="447" spans="3:4" ht="19.95" customHeight="1" x14ac:dyDescent="0.3">
      <c r="C447" s="3"/>
      <c r="D447" s="3"/>
    </row>
    <row r="448" spans="3:4" ht="19.95" customHeight="1" x14ac:dyDescent="0.3">
      <c r="C448" s="3"/>
      <c r="D448" s="3"/>
    </row>
    <row r="449" spans="3:4" ht="19.95" customHeight="1" x14ac:dyDescent="0.3">
      <c r="C449" s="3"/>
      <c r="D449" s="3"/>
    </row>
    <row r="450" spans="3:4" ht="19.95" customHeight="1" x14ac:dyDescent="0.3">
      <c r="C450" s="3"/>
      <c r="D450" s="3"/>
    </row>
    <row r="451" spans="3:4" ht="19.95" customHeight="1" x14ac:dyDescent="0.3">
      <c r="C451" s="3"/>
      <c r="D451" s="3"/>
    </row>
    <row r="452" spans="3:4" ht="19.95" customHeight="1" x14ac:dyDescent="0.3">
      <c r="C452" s="3"/>
      <c r="D452" s="3"/>
    </row>
    <row r="453" spans="3:4" ht="19.95" customHeight="1" x14ac:dyDescent="0.3">
      <c r="C453" s="3"/>
      <c r="D453" s="3"/>
    </row>
    <row r="454" spans="3:4" ht="19.95" customHeight="1" x14ac:dyDescent="0.3">
      <c r="C454" s="3"/>
      <c r="D454" s="3"/>
    </row>
    <row r="455" spans="3:4" ht="19.95" customHeight="1" x14ac:dyDescent="0.3">
      <c r="C455" s="3"/>
      <c r="D455" s="3"/>
    </row>
    <row r="456" spans="3:4" ht="19.95" customHeight="1" x14ac:dyDescent="0.3">
      <c r="C456" s="3"/>
      <c r="D456" s="3"/>
    </row>
    <row r="457" spans="3:4" ht="19.95" customHeight="1" x14ac:dyDescent="0.3">
      <c r="C457" s="3"/>
      <c r="D457" s="3"/>
    </row>
    <row r="458" spans="3:4" ht="19.95" customHeight="1" x14ac:dyDescent="0.3">
      <c r="C458" s="3"/>
      <c r="D458" s="3"/>
    </row>
    <row r="459" spans="3:4" ht="19.95" customHeight="1" x14ac:dyDescent="0.3">
      <c r="C459" s="3"/>
      <c r="D459" s="3"/>
    </row>
    <row r="460" spans="3:4" ht="19.95" customHeight="1" x14ac:dyDescent="0.3">
      <c r="C460" s="3"/>
      <c r="D460" s="3"/>
    </row>
    <row r="461" spans="3:4" ht="19.95" customHeight="1" x14ac:dyDescent="0.3">
      <c r="C461" s="3"/>
      <c r="D461" s="3"/>
    </row>
    <row r="462" spans="3:4" ht="19.95" customHeight="1" x14ac:dyDescent="0.3">
      <c r="C462" s="3"/>
      <c r="D462" s="3"/>
    </row>
    <row r="463" spans="3:4" ht="19.95" customHeight="1" x14ac:dyDescent="0.3">
      <c r="C463" s="3"/>
      <c r="D463" s="3"/>
    </row>
    <row r="464" spans="3:4" ht="19.95" customHeight="1" x14ac:dyDescent="0.3">
      <c r="C464" s="3"/>
      <c r="D464" s="3"/>
    </row>
    <row r="465" spans="3:4" ht="19.95" customHeight="1" x14ac:dyDescent="0.3">
      <c r="C465" s="3"/>
      <c r="D465" s="3"/>
    </row>
    <row r="466" spans="3:4" ht="19.95" customHeight="1" x14ac:dyDescent="0.3">
      <c r="C466" s="3"/>
      <c r="D466" s="3"/>
    </row>
    <row r="467" spans="3:4" ht="19.95" customHeight="1" x14ac:dyDescent="0.3">
      <c r="C467" s="3"/>
      <c r="D467" s="3"/>
    </row>
    <row r="468" spans="3:4" ht="19.95" customHeight="1" x14ac:dyDescent="0.3">
      <c r="C468" s="3"/>
      <c r="D468" s="3"/>
    </row>
    <row r="469" spans="3:4" ht="19.95" customHeight="1" x14ac:dyDescent="0.3">
      <c r="C469" s="3"/>
      <c r="D469" s="3"/>
    </row>
    <row r="470" spans="3:4" ht="19.95" customHeight="1" x14ac:dyDescent="0.3">
      <c r="C470" s="3"/>
      <c r="D470" s="3"/>
    </row>
    <row r="471" spans="3:4" ht="19.95" customHeight="1" x14ac:dyDescent="0.3">
      <c r="C471" s="3"/>
      <c r="D471" s="3"/>
    </row>
    <row r="472" spans="3:4" ht="19.95" customHeight="1" x14ac:dyDescent="0.3">
      <c r="C472" s="3"/>
      <c r="D472" s="3"/>
    </row>
    <row r="473" spans="3:4" ht="19.95" customHeight="1" x14ac:dyDescent="0.3">
      <c r="C473" s="3"/>
      <c r="D473" s="3"/>
    </row>
    <row r="474" spans="3:4" ht="19.95" customHeight="1" x14ac:dyDescent="0.3">
      <c r="C474" s="3"/>
      <c r="D474" s="3"/>
    </row>
    <row r="475" spans="3:4" ht="19.95" customHeight="1" x14ac:dyDescent="0.3">
      <c r="C475" s="3"/>
      <c r="D475" s="3"/>
    </row>
    <row r="476" spans="3:4" ht="19.95" customHeight="1" x14ac:dyDescent="0.3">
      <c r="C476" s="3"/>
      <c r="D476" s="3"/>
    </row>
    <row r="477" spans="3:4" ht="19.95" customHeight="1" x14ac:dyDescent="0.3">
      <c r="C477" s="3"/>
      <c r="D477" s="3"/>
    </row>
    <row r="478" spans="3:4" ht="19.95" customHeight="1" x14ac:dyDescent="0.3">
      <c r="C478" s="3"/>
      <c r="D478" s="3"/>
    </row>
    <row r="479" spans="3:4" ht="19.95" customHeight="1" x14ac:dyDescent="0.3">
      <c r="C479" s="3"/>
      <c r="D479" s="3"/>
    </row>
    <row r="480" spans="3:4" ht="19.95" customHeight="1" x14ac:dyDescent="0.3">
      <c r="C480" s="3"/>
      <c r="D480" s="3"/>
    </row>
    <row r="481" spans="3:4" ht="19.95" customHeight="1" x14ac:dyDescent="0.3">
      <c r="C481" s="3"/>
      <c r="D481" s="3"/>
    </row>
    <row r="482" spans="3:4" ht="19.95" customHeight="1" x14ac:dyDescent="0.3">
      <c r="C482" s="3"/>
      <c r="D482" s="3"/>
    </row>
    <row r="483" spans="3:4" ht="19.95" customHeight="1" x14ac:dyDescent="0.3">
      <c r="C483" s="3"/>
      <c r="D483" s="3"/>
    </row>
    <row r="484" spans="3:4" ht="19.95" customHeight="1" x14ac:dyDescent="0.3">
      <c r="C484" s="3"/>
      <c r="D484" s="3"/>
    </row>
    <row r="485" spans="3:4" ht="19.95" customHeight="1" x14ac:dyDescent="0.3">
      <c r="C485" s="3"/>
      <c r="D485" s="3"/>
    </row>
    <row r="486" spans="3:4" ht="19.95" customHeight="1" x14ac:dyDescent="0.3">
      <c r="C486" s="3"/>
      <c r="D486" s="3"/>
    </row>
    <row r="487" spans="3:4" ht="19.95" customHeight="1" x14ac:dyDescent="0.3">
      <c r="C487" s="3"/>
      <c r="D487" s="3"/>
    </row>
    <row r="488" spans="3:4" ht="19.95" customHeight="1" x14ac:dyDescent="0.3">
      <c r="C488" s="3"/>
      <c r="D488" s="3"/>
    </row>
    <row r="489" spans="3:4" ht="19.95" customHeight="1" x14ac:dyDescent="0.3">
      <c r="C489" s="3"/>
      <c r="D489" s="3"/>
    </row>
    <row r="490" spans="3:4" ht="19.95" customHeight="1" x14ac:dyDescent="0.3">
      <c r="C490" s="3"/>
      <c r="D490" s="3"/>
    </row>
    <row r="491" spans="3:4" ht="19.95" customHeight="1" x14ac:dyDescent="0.3">
      <c r="C491" s="3"/>
      <c r="D491" s="3"/>
    </row>
    <row r="492" spans="3:4" ht="19.95" customHeight="1" x14ac:dyDescent="0.3">
      <c r="C492" s="3"/>
      <c r="D492" s="3"/>
    </row>
    <row r="493" spans="3:4" ht="19.95" customHeight="1" x14ac:dyDescent="0.3">
      <c r="C493" s="3"/>
      <c r="D493" s="3"/>
    </row>
    <row r="494" spans="3:4" ht="19.95" customHeight="1" x14ac:dyDescent="0.3">
      <c r="C494" s="3"/>
      <c r="D494" s="3"/>
    </row>
    <row r="495" spans="3:4" ht="19.95" customHeight="1" x14ac:dyDescent="0.3">
      <c r="C495" s="3"/>
      <c r="D495" s="3"/>
    </row>
    <row r="496" spans="3:4" ht="19.95" customHeight="1" x14ac:dyDescent="0.3">
      <c r="C496" s="3"/>
      <c r="D496" s="3"/>
    </row>
    <row r="497" spans="3:4" ht="19.95" customHeight="1" x14ac:dyDescent="0.3">
      <c r="C497" s="3"/>
      <c r="D497" s="3"/>
    </row>
    <row r="498" spans="3:4" ht="19.95" customHeight="1" x14ac:dyDescent="0.3">
      <c r="C498" s="3"/>
      <c r="D498" s="3"/>
    </row>
  </sheetData>
  <mergeCells count="13">
    <mergeCell ref="C18:D20"/>
    <mergeCell ref="B8:D10"/>
    <mergeCell ref="F3:J5"/>
    <mergeCell ref="L10:M10"/>
    <mergeCell ref="S10:T10"/>
    <mergeCell ref="C3:D5"/>
    <mergeCell ref="C13:D15"/>
    <mergeCell ref="L20:M20"/>
    <mergeCell ref="S20:T20"/>
    <mergeCell ref="L9:M9"/>
    <mergeCell ref="S9:T9"/>
    <mergeCell ref="L19:M19"/>
    <mergeCell ref="S19:T19"/>
  </mergeCells>
  <conditionalFormatting sqref="G7:J7">
    <cfRule type="cellIs" dxfId="18" priority="1" operator="lessThan">
      <formula>0</formula>
    </cfRule>
    <cfRule type="cellIs" dxfId="17" priority="2" operator="greaterThan">
      <formula>0</formula>
    </cfRule>
  </conditionalFormatting>
  <hyperlinks>
    <hyperlink ref="C3:D5" location="instruction!A1" display="INSTRUCTION" xr:uid="{A4EB4811-154E-46B2-9EE5-EB227EE358FC}"/>
    <hyperlink ref="C13:D15" location="'weight tracker'!A1" display="WEIGHT TRACKER" xr:uid="{C2CA48C4-E78F-4792-82FB-0E3004D80A5F}"/>
    <hyperlink ref="C18:D20" location="'food database'!A1" display="FOOD DATABASE" xr:uid="{6A27BADC-704A-491A-8199-9CF057758555}"/>
  </hyperlinks>
  <pageMargins left="0.7" right="0.7" top="0.75" bottom="0.75" header="0.3" footer="0.3"/>
  <pageSetup scale="45" orientation="portrait" horizontalDpi="300" verticalDpi="300" r:id="rId1"/>
  <rowBreaks count="1" manualBreakCount="1">
    <brk id="23" max="2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1" r:id="rId4" name="Option Button 371">
              <controlPr defaultSize="0" autoFill="0" autoLine="0" autoPict="0">
                <anchor moveWithCells="1">
                  <from>
                    <xdr:col>5</xdr:col>
                    <xdr:colOff>106680</xdr:colOff>
                    <xdr:row>3</xdr:row>
                    <xdr:rowOff>38100</xdr:rowOff>
                  </from>
                  <to>
                    <xdr:col>5</xdr:col>
                    <xdr:colOff>1120140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7" r:id="rId5" name="Option Button 377">
              <controlPr defaultSize="0" autoFill="0" autoLine="0" autoPict="0">
                <anchor moveWithCells="1">
                  <from>
                    <xdr:col>5</xdr:col>
                    <xdr:colOff>1402080</xdr:colOff>
                    <xdr:row>3</xdr:row>
                    <xdr:rowOff>38100</xdr:rowOff>
                  </from>
                  <to>
                    <xdr:col>7</xdr:col>
                    <xdr:colOff>396240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7" r:id="rId6" name="Option Button 427">
              <controlPr defaultSize="0" autoFill="0" autoLine="0" autoPict="0">
                <anchor moveWithCells="1">
                  <from>
                    <xdr:col>8</xdr:col>
                    <xdr:colOff>137160</xdr:colOff>
                    <xdr:row>3</xdr:row>
                    <xdr:rowOff>30480</xdr:rowOff>
                  </from>
                  <to>
                    <xdr:col>9</xdr:col>
                    <xdr:colOff>563880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39D15-485A-4C44-B84C-59F0BC3F6216}">
  <sheetPr codeName="Sheet5"/>
  <dimension ref="B2:P72"/>
  <sheetViews>
    <sheetView workbookViewId="0">
      <selection activeCell="C8" sqref="C8:D10"/>
    </sheetView>
  </sheetViews>
  <sheetFormatPr defaultRowHeight="19.95" customHeight="1" x14ac:dyDescent="0.3"/>
  <cols>
    <col min="1" max="1" width="1.77734375" style="12" customWidth="1"/>
    <col min="2" max="2" width="2.77734375" style="10" customWidth="1"/>
    <col min="3" max="4" width="14.77734375" style="11" customWidth="1"/>
    <col min="5" max="5" width="1.77734375" style="12" customWidth="1"/>
    <col min="6" max="6" width="20.77734375" style="26" customWidth="1"/>
    <col min="7" max="7" width="1.77734375" style="12" customWidth="1"/>
    <col min="8" max="8" width="13.109375" style="12" bestFit="1" customWidth="1"/>
    <col min="9" max="9" width="34.6640625" style="12" bestFit="1" customWidth="1"/>
    <col min="10" max="10" width="20.77734375" style="12" bestFit="1" customWidth="1"/>
    <col min="11" max="11" width="10.109375" style="12" bestFit="1" customWidth="1"/>
    <col min="12" max="12" width="16.109375" style="12" bestFit="1" customWidth="1"/>
    <col min="13" max="13" width="6.5546875" style="12" bestFit="1" customWidth="1"/>
    <col min="14" max="14" width="20.77734375" style="12" bestFit="1" customWidth="1"/>
    <col min="15" max="15" width="1.77734375" style="12" customWidth="1"/>
    <col min="16" max="16" width="20.77734375" style="26" customWidth="1"/>
    <col min="17" max="16384" width="8.88671875" style="12"/>
  </cols>
  <sheetData>
    <row r="2" spans="3:16" ht="19.95" customHeight="1" thickBot="1" x14ac:dyDescent="0.35">
      <c r="F2" s="24"/>
      <c r="H2" s="25" t="s">
        <v>78</v>
      </c>
      <c r="I2" s="25" t="s">
        <v>84</v>
      </c>
      <c r="J2" s="25" t="s">
        <v>82</v>
      </c>
      <c r="K2" s="25" t="s">
        <v>79</v>
      </c>
      <c r="L2" s="25" t="s">
        <v>81</v>
      </c>
      <c r="M2" s="25" t="s">
        <v>80</v>
      </c>
      <c r="N2" s="25" t="s">
        <v>83</v>
      </c>
      <c r="P2" s="24"/>
    </row>
    <row r="3" spans="3:16" ht="19.95" customHeight="1" x14ac:dyDescent="0.3">
      <c r="C3" s="71" t="s">
        <v>101</v>
      </c>
      <c r="D3" s="71"/>
      <c r="F3" s="24"/>
      <c r="H3" s="12" t="s">
        <v>18</v>
      </c>
      <c r="I3" s="12" t="s">
        <v>40</v>
      </c>
      <c r="J3" s="12" t="s">
        <v>48</v>
      </c>
      <c r="K3" s="12">
        <v>38</v>
      </c>
      <c r="L3" s="12">
        <v>4.0999999999999996</v>
      </c>
      <c r="M3" s="12">
        <v>29</v>
      </c>
      <c r="N3" s="12">
        <f>4*food_database[[#This Row],[Protein]]+4*food_database[[#This Row],[Carbohydrate]]+food_database[[#This Row],[Fat]]*9</f>
        <v>429.4</v>
      </c>
      <c r="P3" s="24"/>
    </row>
    <row r="4" spans="3:16" ht="19.95" customHeight="1" x14ac:dyDescent="0.3">
      <c r="C4" s="71"/>
      <c r="D4" s="71"/>
      <c r="F4" s="24"/>
      <c r="H4" s="12" t="s">
        <v>18</v>
      </c>
      <c r="I4" s="12" t="s">
        <v>57</v>
      </c>
      <c r="J4" s="12" t="s">
        <v>48</v>
      </c>
      <c r="K4" s="12">
        <v>15</v>
      </c>
      <c r="L4" s="12">
        <v>0.7</v>
      </c>
      <c r="M4" s="12">
        <v>24</v>
      </c>
      <c r="N4" s="12">
        <f>4*food_database[[#This Row],[Protein]]+4*food_database[[#This Row],[Carbohydrate]]+food_database[[#This Row],[Fat]]*9</f>
        <v>278.8</v>
      </c>
      <c r="P4" s="24"/>
    </row>
    <row r="5" spans="3:16" ht="19.95" customHeight="1" x14ac:dyDescent="0.3">
      <c r="C5" s="71"/>
      <c r="D5" s="71"/>
      <c r="F5" s="24"/>
      <c r="H5" s="12" t="s">
        <v>18</v>
      </c>
      <c r="I5" s="12" t="s">
        <v>10</v>
      </c>
      <c r="J5" s="12" t="s">
        <v>48</v>
      </c>
      <c r="K5" s="12">
        <v>13</v>
      </c>
      <c r="L5" s="12">
        <v>2.5</v>
      </c>
      <c r="M5" s="12">
        <v>2</v>
      </c>
      <c r="N5" s="12">
        <f>4*food_database[[#This Row],[Protein]]+4*food_database[[#This Row],[Carbohydrate]]+food_database[[#This Row],[Fat]]*9</f>
        <v>80</v>
      </c>
      <c r="P5" s="24"/>
    </row>
    <row r="6" spans="3:16" ht="19.95" customHeight="1" x14ac:dyDescent="0.3">
      <c r="C6" s="19"/>
      <c r="D6" s="19"/>
      <c r="F6" s="24"/>
      <c r="H6" s="12" t="s">
        <v>18</v>
      </c>
      <c r="I6" s="12" t="s">
        <v>5</v>
      </c>
      <c r="J6" s="12" t="s">
        <v>48</v>
      </c>
      <c r="K6" s="12">
        <v>8</v>
      </c>
      <c r="L6" s="12">
        <v>3.8</v>
      </c>
      <c r="M6" s="12">
        <v>2</v>
      </c>
      <c r="N6" s="12">
        <f>4*food_database[[#This Row],[Protein]]+4*food_database[[#This Row],[Carbohydrate]]+food_database[[#This Row],[Fat]]*9</f>
        <v>65.2</v>
      </c>
      <c r="P6" s="24"/>
    </row>
    <row r="7" spans="3:16" ht="19.95" customHeight="1" x14ac:dyDescent="0.3">
      <c r="C7" s="19"/>
      <c r="D7" s="19"/>
      <c r="F7" s="24"/>
      <c r="H7" s="12" t="s">
        <v>18</v>
      </c>
      <c r="I7" s="12" t="s">
        <v>37</v>
      </c>
      <c r="J7" s="12" t="s">
        <v>48</v>
      </c>
      <c r="K7" s="12">
        <v>7</v>
      </c>
      <c r="L7" s="12">
        <v>13</v>
      </c>
      <c r="M7" s="12">
        <v>0.2</v>
      </c>
      <c r="N7" s="12">
        <f>4*food_database[[#This Row],[Protein]]+4*food_database[[#This Row],[Carbohydrate]]+food_database[[#This Row],[Fat]]*9</f>
        <v>81.8</v>
      </c>
      <c r="P7" s="24"/>
    </row>
    <row r="8" spans="3:16" ht="19.95" customHeight="1" x14ac:dyDescent="0.3">
      <c r="C8" s="71" t="s">
        <v>158</v>
      </c>
      <c r="D8" s="71"/>
      <c r="F8" s="24"/>
      <c r="H8" s="12" t="s">
        <v>18</v>
      </c>
      <c r="I8" s="12" t="s">
        <v>36</v>
      </c>
      <c r="J8" s="12" t="s">
        <v>48</v>
      </c>
      <c r="K8" s="12">
        <v>3.4</v>
      </c>
      <c r="L8" s="12">
        <v>5.3</v>
      </c>
      <c r="M8" s="12">
        <v>1.5</v>
      </c>
      <c r="N8" s="12">
        <f>4*food_database[[#This Row],[Protein]]+4*food_database[[#This Row],[Carbohydrate]]+food_database[[#This Row],[Fat]]*9</f>
        <v>48.3</v>
      </c>
      <c r="P8" s="24"/>
    </row>
    <row r="9" spans="3:16" ht="19.95" customHeight="1" x14ac:dyDescent="0.3">
      <c r="C9" s="71"/>
      <c r="D9" s="71"/>
      <c r="H9" s="12" t="s">
        <v>18</v>
      </c>
      <c r="I9" s="12" t="s">
        <v>56</v>
      </c>
      <c r="J9" s="12" t="s">
        <v>48</v>
      </c>
      <c r="K9" s="12">
        <v>3.2</v>
      </c>
      <c r="L9" s="12">
        <v>3.7</v>
      </c>
      <c r="M9" s="12">
        <v>0.9</v>
      </c>
      <c r="N9" s="12">
        <f>4*food_database[[#This Row],[Protein]]+4*food_database[[#This Row],[Carbohydrate]]+food_database[[#This Row],[Fat]]*9</f>
        <v>35.700000000000003</v>
      </c>
    </row>
    <row r="10" spans="3:16" ht="19.95" customHeight="1" x14ac:dyDescent="0.3">
      <c r="C10" s="71"/>
      <c r="D10" s="71"/>
      <c r="H10" s="12" t="s">
        <v>19</v>
      </c>
      <c r="I10" s="12" t="s">
        <v>27</v>
      </c>
      <c r="J10" s="12" t="s">
        <v>46</v>
      </c>
      <c r="K10" s="12">
        <v>1.2</v>
      </c>
      <c r="L10" s="12">
        <v>15.4</v>
      </c>
      <c r="M10" s="12">
        <v>0.15</v>
      </c>
      <c r="N10" s="12">
        <f>4*food_database[[#This Row],[Protein]]+4*food_database[[#This Row],[Carbohydrate]]+food_database[[#This Row],[Fat]]*9</f>
        <v>67.75</v>
      </c>
    </row>
    <row r="11" spans="3:16" ht="19.95" customHeight="1" x14ac:dyDescent="0.3">
      <c r="C11" s="19"/>
      <c r="D11" s="19"/>
      <c r="H11" s="12" t="s">
        <v>19</v>
      </c>
      <c r="I11" s="12" t="s">
        <v>6</v>
      </c>
      <c r="J11" s="12" t="s">
        <v>46</v>
      </c>
      <c r="K11" s="12">
        <v>1.1000000000000001</v>
      </c>
      <c r="L11" s="12">
        <v>23</v>
      </c>
      <c r="M11" s="12">
        <v>0.35</v>
      </c>
      <c r="N11" s="12">
        <f>4*food_database[[#This Row],[Protein]]+4*food_database[[#This Row],[Carbohydrate]]+food_database[[#This Row],[Fat]]*9</f>
        <v>99.550000000000011</v>
      </c>
    </row>
    <row r="12" spans="3:16" ht="19.95" customHeight="1" x14ac:dyDescent="0.3">
      <c r="C12" s="19"/>
      <c r="D12" s="19"/>
      <c r="H12" s="12" t="s">
        <v>19</v>
      </c>
      <c r="I12" s="12" t="s">
        <v>28</v>
      </c>
      <c r="J12" s="12" t="s">
        <v>46</v>
      </c>
      <c r="K12" s="12">
        <v>0.9</v>
      </c>
      <c r="L12" s="12">
        <v>9.4</v>
      </c>
      <c r="M12" s="12">
        <v>0.25</v>
      </c>
      <c r="N12" s="12">
        <f>4*food_database[[#This Row],[Protein]]+4*food_database[[#This Row],[Carbohydrate]]+food_database[[#This Row],[Fat]]*9</f>
        <v>43.45</v>
      </c>
    </row>
    <row r="13" spans="3:16" ht="19.95" customHeight="1" x14ac:dyDescent="0.3">
      <c r="C13" s="71" t="s">
        <v>102</v>
      </c>
      <c r="D13" s="71"/>
      <c r="H13" s="12" t="s">
        <v>19</v>
      </c>
      <c r="I13" s="12" t="s">
        <v>11</v>
      </c>
      <c r="J13" s="12" t="s">
        <v>48</v>
      </c>
      <c r="K13" s="12">
        <v>0.75</v>
      </c>
      <c r="L13" s="12">
        <v>18.100000000000001</v>
      </c>
      <c r="M13" s="12">
        <v>0.15</v>
      </c>
      <c r="N13" s="12">
        <f>4*food_database[[#This Row],[Protein]]+4*food_database[[#This Row],[Carbohydrate]]+food_database[[#This Row],[Fat]]*9</f>
        <v>76.75</v>
      </c>
    </row>
    <row r="14" spans="3:16" ht="19.95" customHeight="1" x14ac:dyDescent="0.3">
      <c r="C14" s="71"/>
      <c r="D14" s="71"/>
      <c r="H14" s="12" t="s">
        <v>19</v>
      </c>
      <c r="I14" s="12" t="s">
        <v>8</v>
      </c>
      <c r="J14" s="12" t="s">
        <v>48</v>
      </c>
      <c r="K14" s="12">
        <v>0.75</v>
      </c>
      <c r="L14" s="12">
        <v>15</v>
      </c>
      <c r="M14" s="12">
        <v>0.3</v>
      </c>
      <c r="N14" s="12">
        <f>4*food_database[[#This Row],[Protein]]+4*food_database[[#This Row],[Carbohydrate]]+food_database[[#This Row],[Fat]]*9</f>
        <v>65.7</v>
      </c>
    </row>
    <row r="15" spans="3:16" ht="19.95" customHeight="1" x14ac:dyDescent="0.3">
      <c r="C15" s="71"/>
      <c r="D15" s="71"/>
      <c r="H15" s="12" t="s">
        <v>19</v>
      </c>
      <c r="I15" s="12" t="s">
        <v>43</v>
      </c>
      <c r="J15" s="12" t="s">
        <v>48</v>
      </c>
      <c r="K15" s="12">
        <v>0.6</v>
      </c>
      <c r="L15" s="12">
        <v>7.6</v>
      </c>
      <c r="M15" s="12">
        <v>0.2</v>
      </c>
      <c r="N15" s="12">
        <f>4*food_database[[#This Row],[Protein]]+4*food_database[[#This Row],[Carbohydrate]]+food_database[[#This Row],[Fat]]*9</f>
        <v>34.599999999999994</v>
      </c>
    </row>
    <row r="16" spans="3:16" ht="19.95" customHeight="1" x14ac:dyDescent="0.3">
      <c r="C16" s="19"/>
      <c r="D16" s="19"/>
      <c r="H16" s="12" t="s">
        <v>19</v>
      </c>
      <c r="I16" s="12" t="s">
        <v>9</v>
      </c>
      <c r="J16" s="12" t="s">
        <v>48</v>
      </c>
      <c r="K16" s="12">
        <v>0.45</v>
      </c>
      <c r="L16" s="12">
        <v>9.1999999999999993</v>
      </c>
      <c r="M16" s="12">
        <v>0.1</v>
      </c>
      <c r="N16" s="12">
        <f>4*food_database[[#This Row],[Protein]]+4*food_database[[#This Row],[Carbohydrate]]+food_database[[#This Row],[Fat]]*9</f>
        <v>39.499999999999993</v>
      </c>
    </row>
    <row r="17" spans="2:14" ht="19.95" customHeight="1" x14ac:dyDescent="0.3">
      <c r="C17" s="19"/>
      <c r="D17" s="19"/>
      <c r="H17" s="12" t="s">
        <v>19</v>
      </c>
      <c r="I17" s="12" t="s">
        <v>7</v>
      </c>
      <c r="J17" s="12" t="s">
        <v>46</v>
      </c>
      <c r="K17" s="12">
        <v>0.4</v>
      </c>
      <c r="L17" s="12">
        <v>19</v>
      </c>
      <c r="M17" s="12">
        <v>0.3</v>
      </c>
      <c r="N17" s="12">
        <f>4*food_database[[#This Row],[Protein]]+4*food_database[[#This Row],[Carbohydrate]]+food_database[[#This Row],[Fat]]*9</f>
        <v>80.3</v>
      </c>
    </row>
    <row r="18" spans="2:14" ht="19.95" customHeight="1" x14ac:dyDescent="0.3">
      <c r="B18" s="85" t="s">
        <v>103</v>
      </c>
      <c r="C18" s="85"/>
      <c r="D18" s="85"/>
      <c r="H18" s="12" t="s">
        <v>23</v>
      </c>
      <c r="I18" s="12" t="s">
        <v>44</v>
      </c>
      <c r="J18" s="12" t="s">
        <v>48</v>
      </c>
      <c r="K18" s="12">
        <v>8</v>
      </c>
      <c r="L18" s="12">
        <v>5</v>
      </c>
      <c r="M18" s="12">
        <v>11</v>
      </c>
      <c r="N18" s="12">
        <f>4*food_database[[#This Row],[Protein]]+4*food_database[[#This Row],[Carbohydrate]]+food_database[[#This Row],[Fat]]*9</f>
        <v>151</v>
      </c>
    </row>
    <row r="19" spans="2:14" ht="19.95" customHeight="1" x14ac:dyDescent="0.3">
      <c r="B19" s="85"/>
      <c r="C19" s="85"/>
      <c r="D19" s="85"/>
      <c r="H19" s="12" t="s">
        <v>23</v>
      </c>
      <c r="I19" s="12" t="s">
        <v>65</v>
      </c>
      <c r="J19" s="12" t="s">
        <v>48</v>
      </c>
      <c r="K19" s="12">
        <v>8</v>
      </c>
      <c r="L19" s="12">
        <v>17.100000000000001</v>
      </c>
      <c r="M19" s="12">
        <v>0.6</v>
      </c>
      <c r="N19" s="12">
        <f>4*food_database[[#This Row],[Protein]]+4*food_database[[#This Row],[Carbohydrate]]+food_database[[#This Row],[Fat]]*9</f>
        <v>105.80000000000001</v>
      </c>
    </row>
    <row r="20" spans="2:14" ht="19.95" customHeight="1" x14ac:dyDescent="0.3">
      <c r="B20" s="85"/>
      <c r="C20" s="85"/>
      <c r="D20" s="85"/>
      <c r="H20" s="12" t="s">
        <v>23</v>
      </c>
      <c r="I20" s="12" t="s">
        <v>24</v>
      </c>
      <c r="J20" s="12" t="s">
        <v>48</v>
      </c>
      <c r="K20" s="12">
        <v>6.3</v>
      </c>
      <c r="L20" s="12">
        <v>13.4</v>
      </c>
      <c r="M20" s="12">
        <v>7.2</v>
      </c>
      <c r="N20" s="12">
        <f>4*food_database[[#This Row],[Protein]]+4*food_database[[#This Row],[Carbohydrate]]+food_database[[#This Row],[Fat]]*9</f>
        <v>143.6</v>
      </c>
    </row>
    <row r="21" spans="2:14" ht="19.95" customHeight="1" x14ac:dyDescent="0.3">
      <c r="H21" s="12" t="s">
        <v>23</v>
      </c>
      <c r="I21" s="12" t="s">
        <v>91</v>
      </c>
      <c r="J21" s="12" t="s">
        <v>48</v>
      </c>
      <c r="K21" s="12">
        <v>5.8</v>
      </c>
      <c r="L21" s="12">
        <v>12.2</v>
      </c>
      <c r="M21" s="12">
        <v>9.5</v>
      </c>
      <c r="N21" s="12">
        <f>4*food_database[[#This Row],[Protein]]+4*food_database[[#This Row],[Carbohydrate]]+food_database[[#This Row],[Fat]]*9</f>
        <v>157.5</v>
      </c>
    </row>
    <row r="22" spans="2:14" ht="19.95" customHeight="1" x14ac:dyDescent="0.3">
      <c r="H22" s="12" t="s">
        <v>23</v>
      </c>
      <c r="I22" s="12" t="s">
        <v>41</v>
      </c>
      <c r="J22" s="12" t="s">
        <v>48</v>
      </c>
      <c r="K22" s="12">
        <v>5.5</v>
      </c>
      <c r="L22" s="12">
        <v>15.8</v>
      </c>
      <c r="M22" s="12">
        <v>8</v>
      </c>
      <c r="N22" s="12">
        <f>4*food_database[[#This Row],[Protein]]+4*food_database[[#This Row],[Carbohydrate]]+food_database[[#This Row],[Fat]]*9</f>
        <v>157.19999999999999</v>
      </c>
    </row>
    <row r="23" spans="2:14" ht="19.95" customHeight="1" x14ac:dyDescent="0.3">
      <c r="H23" s="12" t="s">
        <v>23</v>
      </c>
      <c r="I23" s="12" t="s">
        <v>87</v>
      </c>
      <c r="J23" s="12" t="s">
        <v>48</v>
      </c>
      <c r="K23" s="12">
        <v>5</v>
      </c>
      <c r="L23" s="12">
        <v>22.6</v>
      </c>
      <c r="M23" s="12">
        <v>1.1499999999999999</v>
      </c>
      <c r="N23" s="12">
        <f>4*food_database[[#This Row],[Protein]]+4*food_database[[#This Row],[Carbohydrate]]+food_database[[#This Row],[Fat]]*9</f>
        <v>120.75</v>
      </c>
    </row>
    <row r="24" spans="2:14" ht="19.95" customHeight="1" x14ac:dyDescent="0.3">
      <c r="H24" s="12" t="s">
        <v>23</v>
      </c>
      <c r="I24" s="12" t="s">
        <v>161</v>
      </c>
      <c r="J24" s="12" t="s">
        <v>160</v>
      </c>
      <c r="K24" s="12">
        <v>4.3</v>
      </c>
      <c r="L24" s="12">
        <v>14</v>
      </c>
      <c r="M24" s="12">
        <v>0.9</v>
      </c>
      <c r="N24" s="12">
        <f>4*food_database[[#This Row],[Protein]]+4*food_database[[#This Row],[Carbohydrate]]+food_database[[#This Row],[Fat]]*9</f>
        <v>81.3</v>
      </c>
    </row>
    <row r="25" spans="2:14" ht="19.95" customHeight="1" x14ac:dyDescent="0.3">
      <c r="H25" s="12" t="s">
        <v>23</v>
      </c>
      <c r="I25" s="12" t="s">
        <v>86</v>
      </c>
      <c r="J25" s="12" t="s">
        <v>48</v>
      </c>
      <c r="K25" s="12">
        <v>3</v>
      </c>
      <c r="L25" s="12">
        <v>7</v>
      </c>
      <c r="M25" s="12">
        <v>2</v>
      </c>
      <c r="N25" s="12">
        <f>4*food_database[[#This Row],[Protein]]+4*food_database[[#This Row],[Carbohydrate]]+food_database[[#This Row],[Fat]]*9</f>
        <v>58</v>
      </c>
    </row>
    <row r="26" spans="2:14" ht="19.95" customHeight="1" x14ac:dyDescent="0.3">
      <c r="H26" s="12" t="s">
        <v>23</v>
      </c>
      <c r="I26" s="12" t="s">
        <v>85</v>
      </c>
      <c r="J26" s="12" t="s">
        <v>46</v>
      </c>
      <c r="K26" s="12">
        <v>2.2999999999999998</v>
      </c>
      <c r="L26" s="12">
        <v>5.4</v>
      </c>
      <c r="M26" s="12">
        <v>3</v>
      </c>
      <c r="N26" s="12">
        <f>4*food_database[[#This Row],[Protein]]+4*food_database[[#This Row],[Carbohydrate]]+food_database[[#This Row],[Fat]]*9</f>
        <v>57.8</v>
      </c>
    </row>
    <row r="27" spans="2:14" ht="19.95" customHeight="1" x14ac:dyDescent="0.3">
      <c r="H27" s="12" t="s">
        <v>25</v>
      </c>
      <c r="I27" s="12" t="s">
        <v>66</v>
      </c>
      <c r="J27" s="12" t="s">
        <v>46</v>
      </c>
      <c r="K27" s="12">
        <v>17.5</v>
      </c>
      <c r="L27" s="12">
        <v>91.7</v>
      </c>
      <c r="M27" s="12">
        <v>10.85</v>
      </c>
      <c r="N27" s="12">
        <f>4*food_database[[#This Row],[Protein]]+4*food_database[[#This Row],[Carbohydrate]]+food_database[[#This Row],[Fat]]*9</f>
        <v>534.45000000000005</v>
      </c>
    </row>
    <row r="28" spans="2:14" ht="19.95" customHeight="1" x14ac:dyDescent="0.3">
      <c r="H28" s="12" t="s">
        <v>25</v>
      </c>
      <c r="I28" s="12" t="s">
        <v>63</v>
      </c>
      <c r="J28" s="12" t="s">
        <v>48</v>
      </c>
      <c r="K28" s="12">
        <v>11</v>
      </c>
      <c r="L28" s="12">
        <v>0.7</v>
      </c>
      <c r="M28" s="12">
        <v>0.2</v>
      </c>
      <c r="N28" s="12">
        <f>4*food_database[[#This Row],[Protein]]+4*food_database[[#This Row],[Carbohydrate]]+food_database[[#This Row],[Fat]]*9</f>
        <v>48.599999999999994</v>
      </c>
    </row>
    <row r="29" spans="2:14" ht="19.95" customHeight="1" x14ac:dyDescent="0.3">
      <c r="H29" s="12" t="s">
        <v>25</v>
      </c>
      <c r="I29" s="12" t="s">
        <v>90</v>
      </c>
      <c r="J29" s="12" t="s">
        <v>46</v>
      </c>
      <c r="K29" s="12">
        <v>5.5</v>
      </c>
      <c r="L29" s="12">
        <v>0.35</v>
      </c>
      <c r="M29" s="12">
        <v>4.3499999999999996</v>
      </c>
      <c r="N29" s="12">
        <f>4*food_database[[#This Row],[Protein]]+4*food_database[[#This Row],[Carbohydrate]]+food_database[[#This Row],[Fat]]*9</f>
        <v>62.55</v>
      </c>
    </row>
    <row r="30" spans="2:14" ht="19.95" customHeight="1" x14ac:dyDescent="0.3">
      <c r="H30" s="12" t="s">
        <v>25</v>
      </c>
      <c r="I30" s="12" t="s">
        <v>62</v>
      </c>
      <c r="J30" s="12" t="s">
        <v>48</v>
      </c>
      <c r="K30" s="12">
        <v>5.4</v>
      </c>
      <c r="L30" s="12">
        <v>55</v>
      </c>
      <c r="M30" s="12">
        <v>35</v>
      </c>
      <c r="N30" s="12">
        <f>4*food_database[[#This Row],[Protein]]+4*food_database[[#This Row],[Carbohydrate]]+food_database[[#This Row],[Fat]]*9</f>
        <v>556.6</v>
      </c>
    </row>
    <row r="31" spans="2:14" ht="19.95" customHeight="1" x14ac:dyDescent="0.3">
      <c r="H31" s="12" t="s">
        <v>25</v>
      </c>
      <c r="I31" s="12" t="s">
        <v>67</v>
      </c>
      <c r="J31" s="12" t="s">
        <v>48</v>
      </c>
      <c r="K31" s="12">
        <v>5</v>
      </c>
      <c r="L31" s="12">
        <v>62</v>
      </c>
      <c r="M31" s="12">
        <v>30</v>
      </c>
      <c r="N31" s="12">
        <f>4*food_database[[#This Row],[Protein]]+4*food_database[[#This Row],[Carbohydrate]]+food_database[[#This Row],[Fat]]*9</f>
        <v>538</v>
      </c>
    </row>
    <row r="32" spans="2:14" ht="19.95" customHeight="1" x14ac:dyDescent="0.3">
      <c r="H32" s="12" t="s">
        <v>25</v>
      </c>
      <c r="I32" s="12" t="s">
        <v>92</v>
      </c>
      <c r="J32" s="12" t="s">
        <v>48</v>
      </c>
      <c r="K32" s="12">
        <v>1.62</v>
      </c>
      <c r="L32" s="12">
        <v>7.64</v>
      </c>
      <c r="M32" s="12">
        <v>9.94</v>
      </c>
      <c r="N32" s="12">
        <f>4*food_database[[#This Row],[Protein]]+4*food_database[[#This Row],[Carbohydrate]]+food_database[[#This Row],[Fat]]*9</f>
        <v>126.5</v>
      </c>
    </row>
    <row r="33" spans="8:14" ht="19.95" customHeight="1" x14ac:dyDescent="0.3">
      <c r="H33" s="12" t="s">
        <v>25</v>
      </c>
      <c r="I33" s="12" t="s">
        <v>50</v>
      </c>
      <c r="J33" s="12" t="s">
        <v>48</v>
      </c>
      <c r="K33" s="12">
        <v>1.6</v>
      </c>
      <c r="L33" s="12">
        <v>11.6</v>
      </c>
      <c r="M33" s="12">
        <v>42.4</v>
      </c>
      <c r="N33" s="12">
        <f>4*food_database[[#This Row],[Protein]]+4*food_database[[#This Row],[Carbohydrate]]+food_database[[#This Row],[Fat]]*9</f>
        <v>434.4</v>
      </c>
    </row>
    <row r="34" spans="8:14" ht="19.95" customHeight="1" x14ac:dyDescent="0.3">
      <c r="H34" s="12" t="s">
        <v>25</v>
      </c>
      <c r="I34" s="12" t="s">
        <v>89</v>
      </c>
      <c r="J34" s="12" t="s">
        <v>48</v>
      </c>
      <c r="K34" s="12">
        <v>0.3</v>
      </c>
      <c r="L34" s="12">
        <v>8.5</v>
      </c>
      <c r="M34" s="12">
        <v>52</v>
      </c>
      <c r="N34" s="12">
        <f>4*food_database[[#This Row],[Protein]]+4*food_database[[#This Row],[Carbohydrate]]+food_database[[#This Row],[Fat]]*9</f>
        <v>503.2</v>
      </c>
    </row>
    <row r="35" spans="8:14" ht="19.95" customHeight="1" x14ac:dyDescent="0.3">
      <c r="H35" s="12" t="s">
        <v>25</v>
      </c>
      <c r="I35" s="12" t="s">
        <v>88</v>
      </c>
      <c r="J35" s="12" t="s">
        <v>30</v>
      </c>
      <c r="K35" s="12">
        <v>0</v>
      </c>
      <c r="L35" s="12">
        <v>5</v>
      </c>
      <c r="M35" s="12">
        <v>0</v>
      </c>
      <c r="N35" s="12">
        <f>4*food_database[[#This Row],[Protein]]+4*food_database[[#This Row],[Carbohydrate]]+food_database[[#This Row],[Fat]]*9</f>
        <v>20</v>
      </c>
    </row>
    <row r="36" spans="8:14" ht="19.95" customHeight="1" x14ac:dyDescent="0.3">
      <c r="H36" s="12" t="s">
        <v>75</v>
      </c>
      <c r="I36" s="12" t="s">
        <v>94</v>
      </c>
      <c r="J36" s="12" t="s">
        <v>48</v>
      </c>
      <c r="K36" s="12">
        <v>23</v>
      </c>
      <c r="L36" s="12">
        <v>15.2</v>
      </c>
      <c r="M36" s="12">
        <v>49.5</v>
      </c>
      <c r="N36" s="12">
        <f>4*food_database[[#This Row],[Protein]]+4*food_database[[#This Row],[Carbohydrate]]+food_database[[#This Row],[Fat]]*9</f>
        <v>598.29999999999995</v>
      </c>
    </row>
    <row r="37" spans="8:14" ht="19.95" customHeight="1" x14ac:dyDescent="0.3">
      <c r="H37" s="12" t="s">
        <v>75</v>
      </c>
      <c r="I37" s="12" t="s">
        <v>95</v>
      </c>
      <c r="J37" s="12" t="s">
        <v>48</v>
      </c>
      <c r="K37" s="12">
        <v>1</v>
      </c>
      <c r="L37" s="12">
        <v>3</v>
      </c>
      <c r="M37" s="12">
        <v>16</v>
      </c>
      <c r="N37" s="12">
        <f>4*food_database[[#This Row],[Protein]]+4*food_database[[#This Row],[Carbohydrate]]+food_database[[#This Row],[Fat]]*9</f>
        <v>160</v>
      </c>
    </row>
    <row r="38" spans="8:14" ht="19.95" customHeight="1" x14ac:dyDescent="0.3">
      <c r="H38" s="12" t="s">
        <v>75</v>
      </c>
      <c r="I38" s="12" t="s">
        <v>47</v>
      </c>
      <c r="J38" s="12" t="s">
        <v>48</v>
      </c>
      <c r="K38" s="12">
        <v>0.1</v>
      </c>
      <c r="L38" s="12">
        <v>0.4</v>
      </c>
      <c r="M38" s="12">
        <v>1.1000000000000001</v>
      </c>
      <c r="N38" s="12">
        <f>4*food_database[[#This Row],[Protein]]+4*food_database[[#This Row],[Carbohydrate]]+food_database[[#This Row],[Fat]]*9</f>
        <v>11.9</v>
      </c>
    </row>
    <row r="39" spans="8:14" ht="19.95" customHeight="1" x14ac:dyDescent="0.3">
      <c r="H39" s="12" t="s">
        <v>75</v>
      </c>
      <c r="I39" s="12" t="s">
        <v>16</v>
      </c>
      <c r="J39" s="12" t="s">
        <v>30</v>
      </c>
      <c r="K39" s="12">
        <v>0</v>
      </c>
      <c r="L39" s="12">
        <v>0</v>
      </c>
      <c r="M39" s="12">
        <v>13.5</v>
      </c>
      <c r="N39" s="12">
        <f>4*food_database[[#This Row],[Protein]]+4*food_database[[#This Row],[Carbohydrate]]+food_database[[#This Row],[Fat]]*9</f>
        <v>121.5</v>
      </c>
    </row>
    <row r="40" spans="8:14" ht="19.95" customHeight="1" x14ac:dyDescent="0.3">
      <c r="H40" s="12" t="s">
        <v>96</v>
      </c>
      <c r="I40" s="12" t="s">
        <v>14</v>
      </c>
      <c r="J40" s="12" t="s">
        <v>48</v>
      </c>
      <c r="K40" s="12">
        <v>53.7</v>
      </c>
      <c r="L40" s="12">
        <v>20.7</v>
      </c>
      <c r="M40" s="12">
        <v>0.9</v>
      </c>
      <c r="N40" s="12">
        <f>4*food_database[[#This Row],[Protein]]+4*food_database[[#This Row],[Carbohydrate]]+food_database[[#This Row],[Fat]]*9</f>
        <v>305.70000000000005</v>
      </c>
    </row>
    <row r="41" spans="8:14" ht="19.95" customHeight="1" x14ac:dyDescent="0.3">
      <c r="H41" s="12" t="s">
        <v>96</v>
      </c>
      <c r="I41" s="12" t="s">
        <v>159</v>
      </c>
      <c r="J41" s="12" t="s">
        <v>160</v>
      </c>
      <c r="K41" s="12">
        <v>17</v>
      </c>
      <c r="L41" s="12">
        <v>5.3</v>
      </c>
      <c r="M41" s="12">
        <v>3.7</v>
      </c>
      <c r="N41" s="12">
        <f>4*food_database[[#This Row],[Protein]]+4*food_database[[#This Row],[Carbohydrate]]+food_database[[#This Row],[Fat]]*9</f>
        <v>122.5</v>
      </c>
    </row>
    <row r="42" spans="8:14" ht="19.95" customHeight="1" x14ac:dyDescent="0.3">
      <c r="H42" s="12" t="s">
        <v>96</v>
      </c>
      <c r="I42" s="12" t="s">
        <v>49</v>
      </c>
      <c r="J42" s="12" t="s">
        <v>48</v>
      </c>
      <c r="K42" s="12">
        <v>14.2</v>
      </c>
      <c r="L42" s="12">
        <v>0.5</v>
      </c>
      <c r="M42" s="12">
        <v>7</v>
      </c>
      <c r="N42" s="12">
        <f>4*food_database[[#This Row],[Protein]]+4*food_database[[#This Row],[Carbohydrate]]+food_database[[#This Row],[Fat]]*9</f>
        <v>121.8</v>
      </c>
    </row>
    <row r="43" spans="8:14" ht="19.95" customHeight="1" x14ac:dyDescent="0.3">
      <c r="H43" s="12" t="s">
        <v>21</v>
      </c>
      <c r="I43" s="12" t="s">
        <v>53</v>
      </c>
      <c r="J43" s="12" t="s">
        <v>48</v>
      </c>
      <c r="K43" s="12">
        <v>14</v>
      </c>
      <c r="L43" s="12">
        <v>62</v>
      </c>
      <c r="M43" s="12">
        <v>6.2</v>
      </c>
      <c r="N43" s="12">
        <f>4*food_database[[#This Row],[Protein]]+4*food_database[[#This Row],[Carbohydrate]]+food_database[[#This Row],[Fat]]*9</f>
        <v>359.8</v>
      </c>
    </row>
    <row r="44" spans="8:14" ht="19.95" customHeight="1" x14ac:dyDescent="0.3">
      <c r="H44" s="12" t="s">
        <v>21</v>
      </c>
      <c r="I44" s="12" t="s">
        <v>26</v>
      </c>
      <c r="J44" s="12" t="s">
        <v>48</v>
      </c>
      <c r="K44" s="12">
        <v>9</v>
      </c>
      <c r="L44" s="12">
        <v>49</v>
      </c>
      <c r="M44" s="12">
        <v>3.2</v>
      </c>
      <c r="N44" s="12">
        <f>4*food_database[[#This Row],[Protein]]+4*food_database[[#This Row],[Carbohydrate]]+food_database[[#This Row],[Fat]]*9</f>
        <v>260.8</v>
      </c>
    </row>
    <row r="45" spans="8:14" ht="19.95" customHeight="1" x14ac:dyDescent="0.3">
      <c r="H45" s="12" t="s">
        <v>21</v>
      </c>
      <c r="I45" s="12" t="s">
        <v>93</v>
      </c>
      <c r="J45" s="12" t="s">
        <v>48</v>
      </c>
      <c r="K45" s="12">
        <v>8.4</v>
      </c>
      <c r="L45" s="12">
        <v>76</v>
      </c>
      <c r="M45" s="12">
        <v>13</v>
      </c>
      <c r="N45" s="12">
        <f>4*food_database[[#This Row],[Protein]]+4*food_database[[#This Row],[Carbohydrate]]+food_database[[#This Row],[Fat]]*9</f>
        <v>454.6</v>
      </c>
    </row>
    <row r="46" spans="8:14" ht="19.95" customHeight="1" x14ac:dyDescent="0.3">
      <c r="H46" s="12" t="s">
        <v>21</v>
      </c>
      <c r="I46" s="12" t="s">
        <v>97</v>
      </c>
      <c r="J46" s="12" t="s">
        <v>48</v>
      </c>
      <c r="K46" s="12">
        <v>8.4</v>
      </c>
      <c r="L46" s="12">
        <v>76.2</v>
      </c>
      <c r="M46" s="12">
        <v>2.2999999999999998</v>
      </c>
      <c r="N46" s="12">
        <f>4*food_database[[#This Row],[Protein]]+4*food_database[[#This Row],[Carbohydrate]]+food_database[[#This Row],[Fat]]*9</f>
        <v>359.1</v>
      </c>
    </row>
    <row r="47" spans="8:14" ht="19.95" customHeight="1" x14ac:dyDescent="0.3">
      <c r="H47" s="12" t="s">
        <v>21</v>
      </c>
      <c r="I47" s="12" t="s">
        <v>76</v>
      </c>
      <c r="J47" s="12" t="s">
        <v>48</v>
      </c>
      <c r="K47" s="12">
        <v>8.3000000000000007</v>
      </c>
      <c r="L47" s="12">
        <v>49.5</v>
      </c>
      <c r="M47" s="12">
        <v>18.5</v>
      </c>
      <c r="N47" s="12">
        <f>4*food_database[[#This Row],[Protein]]+4*food_database[[#This Row],[Carbohydrate]]+food_database[[#This Row],[Fat]]*9</f>
        <v>397.7</v>
      </c>
    </row>
    <row r="48" spans="8:14" ht="19.95" customHeight="1" x14ac:dyDescent="0.3">
      <c r="H48" s="12" t="s">
        <v>21</v>
      </c>
      <c r="I48" s="12" t="s">
        <v>73</v>
      </c>
      <c r="J48" s="12" t="s">
        <v>48</v>
      </c>
      <c r="K48" s="12">
        <v>8</v>
      </c>
      <c r="L48" s="12">
        <v>52</v>
      </c>
      <c r="M48" s="12">
        <v>19</v>
      </c>
      <c r="N48" s="12">
        <f>4*food_database[[#This Row],[Protein]]+4*food_database[[#This Row],[Carbohydrate]]+food_database[[#This Row],[Fat]]*9</f>
        <v>411</v>
      </c>
    </row>
    <row r="49" spans="8:14" ht="19.95" customHeight="1" x14ac:dyDescent="0.3">
      <c r="H49" s="12" t="s">
        <v>21</v>
      </c>
      <c r="I49" s="12" t="s">
        <v>52</v>
      </c>
      <c r="J49" s="12" t="s">
        <v>48</v>
      </c>
      <c r="K49" s="12">
        <v>8</v>
      </c>
      <c r="L49" s="12">
        <v>83</v>
      </c>
      <c r="M49" s="12">
        <v>3</v>
      </c>
      <c r="N49" s="12">
        <f>4*food_database[[#This Row],[Protein]]+4*food_database[[#This Row],[Carbohydrate]]+food_database[[#This Row],[Fat]]*9</f>
        <v>391</v>
      </c>
    </row>
    <row r="50" spans="8:14" ht="19.95" customHeight="1" x14ac:dyDescent="0.3">
      <c r="H50" s="12" t="s">
        <v>21</v>
      </c>
      <c r="I50" s="12" t="s">
        <v>98</v>
      </c>
      <c r="J50" s="12" t="s">
        <v>46</v>
      </c>
      <c r="K50" s="12">
        <v>8</v>
      </c>
      <c r="L50" s="12">
        <v>20</v>
      </c>
      <c r="M50" s="12">
        <v>3</v>
      </c>
      <c r="N50" s="12">
        <f>4*food_database[[#This Row],[Protein]]+4*food_database[[#This Row],[Carbohydrate]]+food_database[[#This Row],[Fat]]*9</f>
        <v>139</v>
      </c>
    </row>
    <row r="51" spans="8:14" ht="19.95" customHeight="1" x14ac:dyDescent="0.3">
      <c r="H51" s="12" t="s">
        <v>21</v>
      </c>
      <c r="I51" s="12" t="s">
        <v>52</v>
      </c>
      <c r="J51" s="12" t="s">
        <v>48</v>
      </c>
      <c r="K51" s="12">
        <v>7.6</v>
      </c>
      <c r="L51" s="12">
        <v>82</v>
      </c>
      <c r="M51" s="12">
        <v>2.5</v>
      </c>
      <c r="N51" s="12">
        <f>4*food_database[[#This Row],[Protein]]+4*food_database[[#This Row],[Carbohydrate]]+food_database[[#This Row],[Fat]]*9</f>
        <v>380.9</v>
      </c>
    </row>
    <row r="52" spans="8:14" ht="19.95" customHeight="1" x14ac:dyDescent="0.3">
      <c r="H52" s="12" t="s">
        <v>21</v>
      </c>
      <c r="I52" s="12" t="s">
        <v>54</v>
      </c>
      <c r="J52" s="12" t="s">
        <v>48</v>
      </c>
      <c r="K52" s="12">
        <v>6.5</v>
      </c>
      <c r="L52" s="12">
        <v>65</v>
      </c>
      <c r="M52" s="12">
        <v>22</v>
      </c>
      <c r="N52" s="12">
        <f>4*food_database[[#This Row],[Protein]]+4*food_database[[#This Row],[Carbohydrate]]+food_database[[#This Row],[Fat]]*9</f>
        <v>484</v>
      </c>
    </row>
    <row r="53" spans="8:14" ht="19.95" customHeight="1" x14ac:dyDescent="0.3">
      <c r="H53" s="12" t="s">
        <v>21</v>
      </c>
      <c r="I53" s="12" t="s">
        <v>31</v>
      </c>
      <c r="J53" s="12" t="s">
        <v>48</v>
      </c>
      <c r="K53" s="12">
        <v>5.75</v>
      </c>
      <c r="L53" s="12">
        <v>30.7</v>
      </c>
      <c r="M53" s="12">
        <v>0.92</v>
      </c>
      <c r="N53" s="12">
        <f>4*food_database[[#This Row],[Protein]]+4*food_database[[#This Row],[Carbohydrate]]+food_database[[#This Row],[Fat]]*9</f>
        <v>154.08000000000001</v>
      </c>
    </row>
    <row r="54" spans="8:14" ht="19.95" customHeight="1" x14ac:dyDescent="0.3">
      <c r="H54" s="12" t="s">
        <v>21</v>
      </c>
      <c r="I54" s="12" t="s">
        <v>45</v>
      </c>
      <c r="J54" s="12" t="s">
        <v>48</v>
      </c>
      <c r="K54" s="12">
        <v>3</v>
      </c>
      <c r="L54" s="12">
        <v>18.600000000000001</v>
      </c>
      <c r="M54" s="12">
        <v>0.25</v>
      </c>
      <c r="N54" s="12">
        <f>4*food_database[[#This Row],[Protein]]+4*food_database[[#This Row],[Carbohydrate]]+food_database[[#This Row],[Fat]]*9</f>
        <v>88.65</v>
      </c>
    </row>
    <row r="55" spans="8:14" ht="19.95" customHeight="1" x14ac:dyDescent="0.3">
      <c r="H55" s="12" t="s">
        <v>21</v>
      </c>
      <c r="I55" s="12" t="s">
        <v>13</v>
      </c>
      <c r="J55" s="12" t="s">
        <v>48</v>
      </c>
      <c r="K55" s="12">
        <v>2.7</v>
      </c>
      <c r="L55" s="12">
        <v>28.7</v>
      </c>
      <c r="M55" s="12">
        <v>0.3</v>
      </c>
      <c r="N55" s="12">
        <f>4*food_database[[#This Row],[Protein]]+4*food_database[[#This Row],[Carbohydrate]]+food_database[[#This Row],[Fat]]*9</f>
        <v>128.29999999999998</v>
      </c>
    </row>
    <row r="56" spans="8:14" ht="19.95" customHeight="1" x14ac:dyDescent="0.3">
      <c r="H56" s="12" t="s">
        <v>21</v>
      </c>
      <c r="I56" s="12" t="s">
        <v>29</v>
      </c>
      <c r="J56" s="12" t="s">
        <v>48</v>
      </c>
      <c r="K56" s="12">
        <v>2.5</v>
      </c>
      <c r="L56" s="12">
        <v>21.5</v>
      </c>
      <c r="M56" s="12">
        <v>0.1</v>
      </c>
      <c r="N56" s="12">
        <f>4*food_database[[#This Row],[Protein]]+4*food_database[[#This Row],[Carbohydrate]]+food_database[[#This Row],[Fat]]*9</f>
        <v>96.9</v>
      </c>
    </row>
    <row r="57" spans="8:14" ht="19.95" customHeight="1" x14ac:dyDescent="0.3">
      <c r="H57" s="12" t="s">
        <v>21</v>
      </c>
      <c r="I57" s="12" t="s">
        <v>72</v>
      </c>
      <c r="J57" s="12" t="s">
        <v>48</v>
      </c>
      <c r="K57" s="12">
        <v>2.5</v>
      </c>
      <c r="L57" s="12">
        <v>19.7</v>
      </c>
      <c r="M57" s="12">
        <v>0.42</v>
      </c>
      <c r="N57" s="12">
        <f>4*food_database[[#This Row],[Protein]]+4*food_database[[#This Row],[Carbohydrate]]+food_database[[#This Row],[Fat]]*9</f>
        <v>92.58</v>
      </c>
    </row>
    <row r="58" spans="8:14" ht="19.95" customHeight="1" x14ac:dyDescent="0.3">
      <c r="H58" s="12" t="s">
        <v>21</v>
      </c>
      <c r="I58" s="12" t="s">
        <v>15</v>
      </c>
      <c r="J58" s="12" t="s">
        <v>48</v>
      </c>
      <c r="K58" s="12">
        <v>1.7</v>
      </c>
      <c r="L58" s="12">
        <v>19.399999999999999</v>
      </c>
      <c r="M58" s="12">
        <v>2.4</v>
      </c>
      <c r="N58" s="12">
        <f>4*food_database[[#This Row],[Protein]]+4*food_database[[#This Row],[Carbohydrate]]+food_database[[#This Row],[Fat]]*9</f>
        <v>105.99999999999999</v>
      </c>
    </row>
    <row r="59" spans="8:14" ht="19.95" customHeight="1" x14ac:dyDescent="0.3">
      <c r="H59" s="12" t="s">
        <v>22</v>
      </c>
      <c r="I59" s="12" t="s">
        <v>74</v>
      </c>
      <c r="J59" s="12" t="s">
        <v>48</v>
      </c>
      <c r="K59" s="12">
        <v>62</v>
      </c>
      <c r="L59" s="12">
        <v>11</v>
      </c>
      <c r="M59" s="12">
        <v>6.1</v>
      </c>
      <c r="N59" s="12">
        <f>4*food_database[[#This Row],[Protein]]+4*food_database[[#This Row],[Carbohydrate]]+food_database[[#This Row],[Fat]]*9</f>
        <v>346.9</v>
      </c>
    </row>
    <row r="60" spans="8:14" ht="19.95" customHeight="1" x14ac:dyDescent="0.3">
      <c r="H60" s="12" t="s">
        <v>22</v>
      </c>
      <c r="I60" s="12" t="s">
        <v>100</v>
      </c>
      <c r="J60" s="12" t="s">
        <v>99</v>
      </c>
      <c r="K60" s="12">
        <v>24.6</v>
      </c>
      <c r="L60" s="12">
        <v>2.25</v>
      </c>
      <c r="M60" s="12">
        <v>1.3</v>
      </c>
      <c r="N60" s="12">
        <f>4*food_database[[#This Row],[Protein]]+4*food_database[[#This Row],[Carbohydrate]]+food_database[[#This Row],[Fat]]*9</f>
        <v>119.10000000000001</v>
      </c>
    </row>
    <row r="61" spans="8:14" ht="19.95" customHeight="1" x14ac:dyDescent="0.3">
      <c r="H61" s="12" t="s">
        <v>22</v>
      </c>
      <c r="I61" s="12" t="s">
        <v>17</v>
      </c>
      <c r="J61" s="12" t="s">
        <v>46</v>
      </c>
      <c r="K61" s="12">
        <v>22.2</v>
      </c>
      <c r="L61" s="12">
        <v>25.3</v>
      </c>
      <c r="M61" s="12">
        <v>5.88</v>
      </c>
      <c r="N61" s="12">
        <f>4*food_database[[#This Row],[Protein]]+4*food_database[[#This Row],[Carbohydrate]]+food_database[[#This Row],[Fat]]*9</f>
        <v>242.92000000000002</v>
      </c>
    </row>
    <row r="62" spans="8:14" ht="19.95" customHeight="1" x14ac:dyDescent="0.3">
      <c r="H62" s="12" t="s">
        <v>20</v>
      </c>
      <c r="I62" s="12" t="s">
        <v>33</v>
      </c>
      <c r="J62" s="12" t="s">
        <v>48</v>
      </c>
      <c r="K62" s="12">
        <v>2.5</v>
      </c>
      <c r="L62" s="12">
        <v>0.3</v>
      </c>
      <c r="M62" s="12">
        <v>0.2</v>
      </c>
      <c r="N62" s="12">
        <f>4*food_database[[#This Row],[Protein]]+4*food_database[[#This Row],[Carbohydrate]]+food_database[[#This Row],[Fat]]*9</f>
        <v>13</v>
      </c>
    </row>
    <row r="63" spans="8:14" ht="19.95" customHeight="1" x14ac:dyDescent="0.3">
      <c r="H63" s="12" t="s">
        <v>20</v>
      </c>
      <c r="I63" s="12" t="s">
        <v>55</v>
      </c>
      <c r="J63" s="12" t="s">
        <v>48</v>
      </c>
      <c r="K63" s="12">
        <v>1.6</v>
      </c>
      <c r="L63" s="12">
        <v>9.6</v>
      </c>
      <c r="M63" s="12">
        <v>1.2</v>
      </c>
      <c r="N63" s="12">
        <f>4*food_database[[#This Row],[Protein]]+4*food_database[[#This Row],[Carbohydrate]]+food_database[[#This Row],[Fat]]*9</f>
        <v>55.599999999999994</v>
      </c>
    </row>
    <row r="64" spans="8:14" ht="19.95" customHeight="1" x14ac:dyDescent="0.3">
      <c r="H64" s="12" t="s">
        <v>20</v>
      </c>
      <c r="I64" s="12" t="s">
        <v>34</v>
      </c>
      <c r="J64" s="12" t="s">
        <v>48</v>
      </c>
      <c r="K64" s="12">
        <v>1.2</v>
      </c>
      <c r="L64" s="12">
        <v>3.4</v>
      </c>
      <c r="M64" s="12">
        <v>0.18</v>
      </c>
      <c r="N64" s="12">
        <f>4*food_database[[#This Row],[Protein]]+4*food_database[[#This Row],[Carbohydrate]]+food_database[[#This Row],[Fat]]*9</f>
        <v>20.02</v>
      </c>
    </row>
    <row r="65" spans="8:14" ht="19.95" customHeight="1" x14ac:dyDescent="0.3">
      <c r="H65" s="12" t="s">
        <v>20</v>
      </c>
      <c r="I65" s="12" t="s">
        <v>35</v>
      </c>
      <c r="J65" s="12" t="s">
        <v>46</v>
      </c>
      <c r="K65" s="12">
        <v>1</v>
      </c>
      <c r="L65" s="12">
        <v>11</v>
      </c>
      <c r="M65" s="12">
        <v>0</v>
      </c>
      <c r="N65" s="12">
        <f>4*food_database[[#This Row],[Protein]]+4*food_database[[#This Row],[Carbohydrate]]+food_database[[#This Row],[Fat]]*9</f>
        <v>48</v>
      </c>
    </row>
    <row r="66" spans="8:14" ht="19.95" customHeight="1" x14ac:dyDescent="0.3">
      <c r="H66" s="12" t="s">
        <v>20</v>
      </c>
      <c r="I66" s="12" t="s">
        <v>12</v>
      </c>
      <c r="J66" s="12" t="s">
        <v>46</v>
      </c>
      <c r="K66" s="12">
        <v>1</v>
      </c>
      <c r="L66" s="12">
        <v>6</v>
      </c>
      <c r="M66" s="12">
        <v>0</v>
      </c>
      <c r="N66" s="12">
        <f>4*food_database[[#This Row],[Protein]]+4*food_database[[#This Row],[Carbohydrate]]+food_database[[#This Row],[Fat]]*9</f>
        <v>28</v>
      </c>
    </row>
    <row r="67" spans="8:14" ht="19.95" customHeight="1" x14ac:dyDescent="0.3">
      <c r="H67" s="12" t="s">
        <v>20</v>
      </c>
      <c r="I67" s="12" t="s">
        <v>32</v>
      </c>
      <c r="J67" s="12" t="s">
        <v>46</v>
      </c>
      <c r="K67" s="12">
        <v>1</v>
      </c>
      <c r="L67" s="12">
        <v>5</v>
      </c>
      <c r="M67" s="12">
        <v>0.25</v>
      </c>
      <c r="N67" s="12">
        <f>4*food_database[[#This Row],[Protein]]+4*food_database[[#This Row],[Carbohydrate]]+food_database[[#This Row],[Fat]]*9</f>
        <v>26.25</v>
      </c>
    </row>
    <row r="68" spans="8:14" ht="19.95" customHeight="1" x14ac:dyDescent="0.3">
      <c r="H68" s="12" t="s">
        <v>20</v>
      </c>
      <c r="I68" s="12" t="s">
        <v>39</v>
      </c>
      <c r="J68" s="12" t="s">
        <v>48</v>
      </c>
      <c r="K68" s="12">
        <v>1</v>
      </c>
      <c r="L68" s="12">
        <v>3</v>
      </c>
      <c r="M68" s="12">
        <v>0</v>
      </c>
      <c r="N68" s="12">
        <f>4*food_database[[#This Row],[Protein]]+4*food_database[[#This Row],[Carbohydrate]]+food_database[[#This Row],[Fat]]*9</f>
        <v>16</v>
      </c>
    </row>
    <row r="69" spans="8:14" ht="19.95" customHeight="1" x14ac:dyDescent="0.3">
      <c r="H69" s="12" t="s">
        <v>20</v>
      </c>
      <c r="I69" s="12" t="s">
        <v>38</v>
      </c>
      <c r="J69" s="12" t="s">
        <v>48</v>
      </c>
      <c r="K69" s="12">
        <v>0.8</v>
      </c>
      <c r="L69" s="12">
        <v>8.6999999999999993</v>
      </c>
      <c r="M69" s="12">
        <v>0.23</v>
      </c>
      <c r="N69" s="12">
        <f>4*food_database[[#This Row],[Protein]]+4*food_database[[#This Row],[Carbohydrate]]+food_database[[#This Row],[Fat]]*9</f>
        <v>40.07</v>
      </c>
    </row>
    <row r="70" spans="8:14" ht="19.95" customHeight="1" x14ac:dyDescent="0.3">
      <c r="H70" s="12" t="s">
        <v>20</v>
      </c>
      <c r="I70" s="12" t="s">
        <v>64</v>
      </c>
      <c r="J70" s="12" t="s">
        <v>48</v>
      </c>
      <c r="K70" s="12">
        <v>0.8</v>
      </c>
      <c r="L70" s="12">
        <v>2.2000000000000002</v>
      </c>
      <c r="M70" s="12">
        <v>2.1</v>
      </c>
      <c r="N70" s="12">
        <f>4*food_database[[#This Row],[Protein]]+4*food_database[[#This Row],[Carbohydrate]]+food_database[[#This Row],[Fat]]*9</f>
        <v>30.900000000000002</v>
      </c>
    </row>
    <row r="71" spans="8:14" ht="19.95" customHeight="1" x14ac:dyDescent="0.3">
      <c r="H71" s="12" t="s">
        <v>20</v>
      </c>
      <c r="I71" s="12" t="s">
        <v>42</v>
      </c>
      <c r="J71" s="12" t="s">
        <v>48</v>
      </c>
      <c r="K71" s="12">
        <v>0.7</v>
      </c>
      <c r="L71" s="12">
        <v>10.7</v>
      </c>
      <c r="M71" s="12">
        <v>2.1</v>
      </c>
      <c r="N71" s="12">
        <f>4*food_database[[#This Row],[Protein]]+4*food_database[[#This Row],[Carbohydrate]]+food_database[[#This Row],[Fat]]*9</f>
        <v>64.5</v>
      </c>
    </row>
    <row r="72" spans="8:14" ht="19.95" customHeight="1" x14ac:dyDescent="0.3">
      <c r="H72" s="12" t="s">
        <v>20</v>
      </c>
      <c r="I72" s="12" t="s">
        <v>77</v>
      </c>
      <c r="J72" s="12" t="s">
        <v>48</v>
      </c>
      <c r="K72" s="12">
        <v>0.6</v>
      </c>
      <c r="L72" s="12">
        <v>2.2000000000000002</v>
      </c>
      <c r="M72" s="12">
        <v>0.2</v>
      </c>
      <c r="N72" s="12">
        <f>4*food_database[[#This Row],[Protein]]+4*food_database[[#This Row],[Carbohydrate]]+food_database[[#This Row],[Fat]]*9</f>
        <v>13.000000000000002</v>
      </c>
    </row>
  </sheetData>
  <mergeCells count="4">
    <mergeCell ref="C8:D10"/>
    <mergeCell ref="C13:D15"/>
    <mergeCell ref="C3:D5"/>
    <mergeCell ref="B18:D20"/>
  </mergeCells>
  <phoneticPr fontId="3" type="noConversion"/>
  <hyperlinks>
    <hyperlink ref="C3:D5" location="instruction!A1" display="INSTRUCTION" xr:uid="{8F32E4CB-43B6-489E-B042-5E8260A51470}"/>
    <hyperlink ref="C8:D10" location="calculator!A1" display="CALCULATOR" xr:uid="{57446ACC-3A94-4D03-87BD-14139002EEF0}"/>
    <hyperlink ref="C13:D15" location="'weight tracker'!A1" display="WEIGHT TRACKER" xr:uid="{E4C1F49D-98F0-48F1-805E-6C6C13398459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1928C-A92A-448C-ADB1-EB558D11E928}">
  <sheetPr codeName="Sheet9"/>
  <dimension ref="B1:K498"/>
  <sheetViews>
    <sheetView workbookViewId="0">
      <selection activeCell="C8" sqref="C8:D10"/>
    </sheetView>
  </sheetViews>
  <sheetFormatPr defaultRowHeight="19.95" customHeight="1" x14ac:dyDescent="0.3"/>
  <cols>
    <col min="1" max="1" width="1.77734375" style="2" customWidth="1"/>
    <col min="2" max="2" width="2.77734375" style="5" customWidth="1"/>
    <col min="3" max="3" width="14.77734375" style="1" customWidth="1"/>
    <col min="4" max="4" width="14.77734375" style="11" customWidth="1"/>
    <col min="5" max="5" width="1.77734375" style="2" customWidth="1"/>
    <col min="6" max="6" width="20.77734375" style="49" customWidth="1"/>
    <col min="7" max="7" width="1.77734375" style="2" customWidth="1"/>
    <col min="8" max="8" width="8.88671875" style="2" customWidth="1"/>
    <col min="9" max="9" width="27.6640625" style="51" bestFit="1" customWidth="1"/>
    <col min="10" max="10" width="7" style="2" bestFit="1" customWidth="1"/>
    <col min="11" max="11" width="7.6640625" style="2" bestFit="1" customWidth="1"/>
    <col min="12" max="16384" width="8.88671875" style="2"/>
  </cols>
  <sheetData>
    <row r="1" spans="2:11" ht="19.95" customHeight="1" thickBot="1" x14ac:dyDescent="0.35">
      <c r="C1" s="3"/>
    </row>
    <row r="2" spans="2:11" ht="19.95" customHeight="1" thickBot="1" x14ac:dyDescent="0.35">
      <c r="C2" s="89" t="s">
        <v>101</v>
      </c>
      <c r="D2" s="89"/>
      <c r="F2" s="24"/>
      <c r="H2" s="50" t="s">
        <v>61</v>
      </c>
      <c r="I2" s="52" t="s">
        <v>60</v>
      </c>
      <c r="J2" s="50" t="s">
        <v>51</v>
      </c>
      <c r="K2" s="50" t="s">
        <v>0</v>
      </c>
    </row>
    <row r="3" spans="2:11" ht="19.95" customHeight="1" thickBot="1" x14ac:dyDescent="0.35">
      <c r="C3" s="89"/>
      <c r="D3" s="89"/>
      <c r="H3" s="86">
        <v>1</v>
      </c>
      <c r="I3" s="54">
        <v>44564</v>
      </c>
      <c r="J3" s="53"/>
      <c r="K3" s="53"/>
    </row>
    <row r="4" spans="2:11" ht="19.95" customHeight="1" thickBot="1" x14ac:dyDescent="0.35">
      <c r="C4" s="89"/>
      <c r="D4" s="89"/>
      <c r="H4" s="87"/>
      <c r="I4" s="54">
        <v>44565</v>
      </c>
      <c r="J4" s="53"/>
      <c r="K4" s="53"/>
    </row>
    <row r="5" spans="2:11" ht="19.95" customHeight="1" thickBot="1" x14ac:dyDescent="0.35">
      <c r="C5" s="9"/>
      <c r="D5" s="48"/>
      <c r="H5" s="87"/>
      <c r="I5" s="54">
        <v>44566</v>
      </c>
      <c r="J5" s="53"/>
      <c r="K5" s="53"/>
    </row>
    <row r="6" spans="2:11" ht="19.95" customHeight="1" thickBot="1" x14ac:dyDescent="0.35">
      <c r="C6" s="4"/>
      <c r="D6" s="19"/>
      <c r="H6" s="87"/>
      <c r="I6" s="54">
        <v>44567</v>
      </c>
      <c r="J6" s="53"/>
      <c r="K6" s="53"/>
    </row>
    <row r="7" spans="2:11" ht="19.95" customHeight="1" thickBot="1" x14ac:dyDescent="0.35">
      <c r="C7" s="4"/>
      <c r="D7" s="19"/>
      <c r="H7" s="87"/>
      <c r="I7" s="54">
        <v>44568</v>
      </c>
      <c r="J7" s="53"/>
      <c r="K7" s="53"/>
    </row>
    <row r="8" spans="2:11" ht="19.95" customHeight="1" thickBot="1" x14ac:dyDescent="0.35">
      <c r="C8" s="89" t="s">
        <v>158</v>
      </c>
      <c r="D8" s="89"/>
      <c r="H8" s="87"/>
      <c r="I8" s="54">
        <v>44569</v>
      </c>
      <c r="J8" s="53"/>
      <c r="K8" s="53"/>
    </row>
    <row r="9" spans="2:11" ht="19.95" customHeight="1" thickBot="1" x14ac:dyDescent="0.35">
      <c r="C9" s="89"/>
      <c r="D9" s="89"/>
      <c r="H9" s="88"/>
      <c r="I9" s="54">
        <v>44570</v>
      </c>
      <c r="J9" s="53"/>
      <c r="K9" s="53"/>
    </row>
    <row r="10" spans="2:11" ht="19.95" customHeight="1" thickBot="1" x14ac:dyDescent="0.35">
      <c r="C10" s="89"/>
      <c r="D10" s="89"/>
      <c r="H10" s="55" t="s">
        <v>153</v>
      </c>
      <c r="I10" s="55"/>
      <c r="J10" s="50" t="str">
        <f>IFERROR(ROUND(AVERAGE(J3:J9),0),"")</f>
        <v/>
      </c>
      <c r="K10" s="50" t="str">
        <f>IFERROR(ROUND(AVERAGE(K3:K9),2),"")</f>
        <v/>
      </c>
    </row>
    <row r="11" spans="2:11" ht="19.95" customHeight="1" thickBot="1" x14ac:dyDescent="0.35">
      <c r="C11" s="4"/>
      <c r="D11" s="19"/>
      <c r="H11" s="86">
        <f>1+H3</f>
        <v>2</v>
      </c>
      <c r="I11" s="54">
        <f>I3+7</f>
        <v>44571</v>
      </c>
      <c r="J11" s="53"/>
      <c r="K11" s="53"/>
    </row>
    <row r="12" spans="2:11" ht="19.95" customHeight="1" thickBot="1" x14ac:dyDescent="0.35">
      <c r="C12" s="4"/>
      <c r="D12" s="19"/>
      <c r="H12" s="87"/>
      <c r="I12" s="54">
        <f t="shared" ref="I12:I17" si="0">I4+7</f>
        <v>44572</v>
      </c>
      <c r="J12" s="53"/>
      <c r="K12" s="53"/>
    </row>
    <row r="13" spans="2:11" ht="19.95" customHeight="1" thickBot="1" x14ac:dyDescent="0.35">
      <c r="B13" s="72" t="s">
        <v>102</v>
      </c>
      <c r="C13" s="72"/>
      <c r="D13" s="72"/>
      <c r="H13" s="87"/>
      <c r="I13" s="54">
        <f t="shared" si="0"/>
        <v>44573</v>
      </c>
      <c r="J13" s="53"/>
      <c r="K13" s="53"/>
    </row>
    <row r="14" spans="2:11" ht="19.95" customHeight="1" thickBot="1" x14ac:dyDescent="0.35">
      <c r="B14" s="72"/>
      <c r="C14" s="72"/>
      <c r="D14" s="72"/>
      <c r="H14" s="87"/>
      <c r="I14" s="54">
        <f t="shared" si="0"/>
        <v>44574</v>
      </c>
      <c r="J14" s="53"/>
      <c r="K14" s="53"/>
    </row>
    <row r="15" spans="2:11" ht="19.95" customHeight="1" thickBot="1" x14ac:dyDescent="0.35">
      <c r="B15" s="72"/>
      <c r="C15" s="72"/>
      <c r="D15" s="72"/>
      <c r="H15" s="87"/>
      <c r="I15" s="54">
        <f t="shared" si="0"/>
        <v>44575</v>
      </c>
      <c r="J15" s="53"/>
      <c r="K15" s="53"/>
    </row>
    <row r="16" spans="2:11" ht="19.95" customHeight="1" thickBot="1" x14ac:dyDescent="0.35">
      <c r="C16" s="4"/>
      <c r="D16" s="19"/>
      <c r="H16" s="87"/>
      <c r="I16" s="54">
        <f t="shared" si="0"/>
        <v>44576</v>
      </c>
      <c r="J16" s="53"/>
      <c r="K16" s="53"/>
    </row>
    <row r="17" spans="3:11" ht="19.95" customHeight="1" thickBot="1" x14ac:dyDescent="0.35">
      <c r="C17" s="4"/>
      <c r="D17" s="19"/>
      <c r="H17" s="88"/>
      <c r="I17" s="54">
        <f t="shared" si="0"/>
        <v>44577</v>
      </c>
      <c r="J17" s="53"/>
      <c r="K17" s="53"/>
    </row>
    <row r="18" spans="3:11" ht="19.95" customHeight="1" thickBot="1" x14ac:dyDescent="0.35">
      <c r="C18" s="89" t="s">
        <v>103</v>
      </c>
      <c r="D18" s="89"/>
      <c r="H18" s="55" t="s">
        <v>153</v>
      </c>
      <c r="I18" s="55"/>
      <c r="J18" s="50" t="str">
        <f>IFERROR(ROUND(AVERAGE(J11:J17),0),"")</f>
        <v/>
      </c>
      <c r="K18" s="50" t="str">
        <f>IFERROR(ROUND(AVERAGE(K11:K17),2),"")</f>
        <v/>
      </c>
    </row>
    <row r="19" spans="3:11" ht="19.95" customHeight="1" thickBot="1" x14ac:dyDescent="0.35">
      <c r="C19" s="89"/>
      <c r="D19" s="89"/>
      <c r="H19" s="86">
        <f>1+H11</f>
        <v>3</v>
      </c>
      <c r="I19" s="54">
        <f>I11+7</f>
        <v>44578</v>
      </c>
      <c r="J19" s="53"/>
      <c r="K19" s="53"/>
    </row>
    <row r="20" spans="3:11" ht="19.95" customHeight="1" thickBot="1" x14ac:dyDescent="0.35">
      <c r="C20" s="89"/>
      <c r="D20" s="89"/>
      <c r="H20" s="87"/>
      <c r="I20" s="54">
        <f t="shared" ref="I20:I25" si="1">I12+7</f>
        <v>44579</v>
      </c>
      <c r="J20" s="53"/>
      <c r="K20" s="53"/>
    </row>
    <row r="21" spans="3:11" ht="19.95" customHeight="1" thickBot="1" x14ac:dyDescent="0.35">
      <c r="C21" s="3"/>
      <c r="H21" s="87"/>
      <c r="I21" s="54">
        <f t="shared" si="1"/>
        <v>44580</v>
      </c>
      <c r="J21" s="53"/>
      <c r="K21" s="53"/>
    </row>
    <row r="22" spans="3:11" ht="19.95" customHeight="1" thickBot="1" x14ac:dyDescent="0.35">
      <c r="C22" s="3"/>
      <c r="H22" s="87"/>
      <c r="I22" s="54">
        <f t="shared" si="1"/>
        <v>44581</v>
      </c>
      <c r="J22" s="53"/>
      <c r="K22" s="53"/>
    </row>
    <row r="23" spans="3:11" ht="19.95" customHeight="1" thickBot="1" x14ac:dyDescent="0.35">
      <c r="C23" s="3"/>
      <c r="H23" s="87"/>
      <c r="I23" s="54">
        <f t="shared" si="1"/>
        <v>44582</v>
      </c>
      <c r="J23" s="53"/>
      <c r="K23" s="53"/>
    </row>
    <row r="24" spans="3:11" ht="19.95" customHeight="1" thickBot="1" x14ac:dyDescent="0.35">
      <c r="C24" s="3"/>
      <c r="H24" s="87"/>
      <c r="I24" s="54">
        <f t="shared" si="1"/>
        <v>44583</v>
      </c>
      <c r="J24" s="53"/>
      <c r="K24" s="53"/>
    </row>
    <row r="25" spans="3:11" ht="19.95" customHeight="1" thickBot="1" x14ac:dyDescent="0.35">
      <c r="C25" s="3"/>
      <c r="H25" s="88"/>
      <c r="I25" s="54">
        <f t="shared" si="1"/>
        <v>44584</v>
      </c>
      <c r="J25" s="53"/>
      <c r="K25" s="53"/>
    </row>
    <row r="26" spans="3:11" ht="19.95" customHeight="1" thickBot="1" x14ac:dyDescent="0.35">
      <c r="C26" s="3"/>
      <c r="H26" s="55" t="s">
        <v>152</v>
      </c>
      <c r="I26" s="55"/>
      <c r="J26" s="50" t="str">
        <f>IFERROR(ROUND(AVERAGE(J19:J25),0),"")</f>
        <v/>
      </c>
      <c r="K26" s="50" t="str">
        <f>IFERROR(ROUND(AVERAGE(K19:K25),2),"")</f>
        <v/>
      </c>
    </row>
    <row r="27" spans="3:11" ht="19.95" customHeight="1" thickBot="1" x14ac:dyDescent="0.35">
      <c r="C27" s="3"/>
      <c r="H27" s="86">
        <f>1+H19</f>
        <v>4</v>
      </c>
      <c r="I27" s="54">
        <f>I19+7</f>
        <v>44585</v>
      </c>
      <c r="J27" s="53"/>
      <c r="K27" s="53"/>
    </row>
    <row r="28" spans="3:11" ht="19.95" customHeight="1" thickBot="1" x14ac:dyDescent="0.35">
      <c r="C28" s="3"/>
      <c r="H28" s="87"/>
      <c r="I28" s="54">
        <f t="shared" ref="I28:I33" si="2">I20+7</f>
        <v>44586</v>
      </c>
      <c r="J28" s="53"/>
      <c r="K28" s="53"/>
    </row>
    <row r="29" spans="3:11" ht="19.95" customHeight="1" thickBot="1" x14ac:dyDescent="0.35">
      <c r="C29" s="3"/>
      <c r="H29" s="87"/>
      <c r="I29" s="54">
        <f t="shared" si="2"/>
        <v>44587</v>
      </c>
      <c r="J29" s="53"/>
      <c r="K29" s="53"/>
    </row>
    <row r="30" spans="3:11" ht="19.95" customHeight="1" thickBot="1" x14ac:dyDescent="0.35">
      <c r="C30" s="3"/>
      <c r="H30" s="87"/>
      <c r="I30" s="54">
        <f t="shared" si="2"/>
        <v>44588</v>
      </c>
      <c r="J30" s="53"/>
      <c r="K30" s="53"/>
    </row>
    <row r="31" spans="3:11" ht="19.95" customHeight="1" thickBot="1" x14ac:dyDescent="0.35">
      <c r="C31" s="3"/>
      <c r="H31" s="87"/>
      <c r="I31" s="54">
        <f t="shared" si="2"/>
        <v>44589</v>
      </c>
      <c r="J31" s="53"/>
      <c r="K31" s="53"/>
    </row>
    <row r="32" spans="3:11" ht="19.95" customHeight="1" thickBot="1" x14ac:dyDescent="0.35">
      <c r="C32" s="3"/>
      <c r="H32" s="87"/>
      <c r="I32" s="54">
        <f t="shared" si="2"/>
        <v>44590</v>
      </c>
      <c r="J32" s="53"/>
      <c r="K32" s="53"/>
    </row>
    <row r="33" spans="3:11" ht="19.95" customHeight="1" thickBot="1" x14ac:dyDescent="0.35">
      <c r="C33" s="3"/>
      <c r="H33" s="88"/>
      <c r="I33" s="54">
        <f t="shared" si="2"/>
        <v>44591</v>
      </c>
      <c r="J33" s="53"/>
      <c r="K33" s="53"/>
    </row>
    <row r="34" spans="3:11" ht="19.95" customHeight="1" thickBot="1" x14ac:dyDescent="0.35">
      <c r="C34" s="3"/>
      <c r="H34" s="55" t="s">
        <v>152</v>
      </c>
      <c r="I34" s="55"/>
      <c r="J34" s="50" t="str">
        <f>IFERROR(ROUND(AVERAGE(J27:J33),0),"")</f>
        <v/>
      </c>
      <c r="K34" s="50" t="str">
        <f>IFERROR(ROUND(AVERAGE(K27:K33),2),"")</f>
        <v/>
      </c>
    </row>
    <row r="35" spans="3:11" ht="19.95" customHeight="1" thickBot="1" x14ac:dyDescent="0.35">
      <c r="C35" s="3"/>
      <c r="H35" s="86">
        <f>1+H27</f>
        <v>5</v>
      </c>
      <c r="I35" s="54">
        <f>I27+7</f>
        <v>44592</v>
      </c>
      <c r="J35" s="53"/>
      <c r="K35" s="53"/>
    </row>
    <row r="36" spans="3:11" ht="19.95" customHeight="1" thickBot="1" x14ac:dyDescent="0.35">
      <c r="C36" s="3"/>
      <c r="H36" s="87"/>
      <c r="I36" s="54">
        <f t="shared" ref="I36:I41" si="3">I28+7</f>
        <v>44593</v>
      </c>
      <c r="J36" s="53"/>
      <c r="K36" s="53"/>
    </row>
    <row r="37" spans="3:11" ht="19.95" customHeight="1" thickBot="1" x14ac:dyDescent="0.35">
      <c r="C37" s="3"/>
      <c r="H37" s="87"/>
      <c r="I37" s="54">
        <f t="shared" si="3"/>
        <v>44594</v>
      </c>
      <c r="J37" s="53"/>
      <c r="K37" s="53"/>
    </row>
    <row r="38" spans="3:11" ht="19.95" customHeight="1" thickBot="1" x14ac:dyDescent="0.35">
      <c r="C38" s="3"/>
      <c r="H38" s="87"/>
      <c r="I38" s="54">
        <f t="shared" si="3"/>
        <v>44595</v>
      </c>
      <c r="J38" s="53"/>
      <c r="K38" s="53"/>
    </row>
    <row r="39" spans="3:11" ht="19.95" customHeight="1" thickBot="1" x14ac:dyDescent="0.35">
      <c r="C39" s="3"/>
      <c r="H39" s="87"/>
      <c r="I39" s="54">
        <f t="shared" si="3"/>
        <v>44596</v>
      </c>
      <c r="J39" s="53"/>
      <c r="K39" s="53"/>
    </row>
    <row r="40" spans="3:11" ht="19.95" customHeight="1" thickBot="1" x14ac:dyDescent="0.35">
      <c r="C40" s="3"/>
      <c r="H40" s="87"/>
      <c r="I40" s="54">
        <f t="shared" si="3"/>
        <v>44597</v>
      </c>
      <c r="J40" s="53"/>
      <c r="K40" s="53"/>
    </row>
    <row r="41" spans="3:11" ht="19.95" customHeight="1" thickBot="1" x14ac:dyDescent="0.35">
      <c r="C41" s="3"/>
      <c r="H41" s="88"/>
      <c r="I41" s="54">
        <f t="shared" si="3"/>
        <v>44598</v>
      </c>
      <c r="J41" s="53"/>
      <c r="K41" s="53"/>
    </row>
    <row r="42" spans="3:11" ht="19.95" customHeight="1" thickBot="1" x14ac:dyDescent="0.35">
      <c r="C42" s="3"/>
      <c r="H42" s="55" t="s">
        <v>152</v>
      </c>
      <c r="I42" s="55"/>
      <c r="J42" s="50" t="str">
        <f>IFERROR(ROUND(AVERAGE(J35:J41),0),"")</f>
        <v/>
      </c>
      <c r="K42" s="50" t="str">
        <f>IFERROR(ROUND(AVERAGE(K35:K41),2),"")</f>
        <v/>
      </c>
    </row>
    <row r="43" spans="3:11" ht="19.95" customHeight="1" thickBot="1" x14ac:dyDescent="0.35">
      <c r="C43" s="3"/>
      <c r="H43" s="86">
        <f>1+H35</f>
        <v>6</v>
      </c>
      <c r="I43" s="54">
        <f>I35+7</f>
        <v>44599</v>
      </c>
      <c r="J43" s="53"/>
      <c r="K43" s="53"/>
    </row>
    <row r="44" spans="3:11" ht="19.95" customHeight="1" thickBot="1" x14ac:dyDescent="0.35">
      <c r="C44" s="3"/>
      <c r="H44" s="87"/>
      <c r="I44" s="54">
        <f t="shared" ref="I44:I49" si="4">I36+7</f>
        <v>44600</v>
      </c>
      <c r="J44" s="53"/>
      <c r="K44" s="53"/>
    </row>
    <row r="45" spans="3:11" ht="19.95" customHeight="1" thickBot="1" x14ac:dyDescent="0.35">
      <c r="C45" s="3"/>
      <c r="H45" s="87"/>
      <c r="I45" s="54">
        <f t="shared" si="4"/>
        <v>44601</v>
      </c>
      <c r="J45" s="53"/>
      <c r="K45" s="53"/>
    </row>
    <row r="46" spans="3:11" ht="19.95" customHeight="1" thickBot="1" x14ac:dyDescent="0.35">
      <c r="C46" s="3"/>
      <c r="H46" s="87"/>
      <c r="I46" s="54">
        <f t="shared" si="4"/>
        <v>44602</v>
      </c>
      <c r="J46" s="53"/>
      <c r="K46" s="53"/>
    </row>
    <row r="47" spans="3:11" ht="19.95" customHeight="1" thickBot="1" x14ac:dyDescent="0.35">
      <c r="C47" s="3"/>
      <c r="H47" s="87"/>
      <c r="I47" s="54">
        <f t="shared" si="4"/>
        <v>44603</v>
      </c>
      <c r="J47" s="53"/>
      <c r="K47" s="53"/>
    </row>
    <row r="48" spans="3:11" ht="19.95" customHeight="1" thickBot="1" x14ac:dyDescent="0.35">
      <c r="C48" s="3"/>
      <c r="H48" s="87"/>
      <c r="I48" s="54">
        <f t="shared" si="4"/>
        <v>44604</v>
      </c>
      <c r="J48" s="53"/>
      <c r="K48" s="53"/>
    </row>
    <row r="49" spans="3:11" ht="19.95" customHeight="1" thickBot="1" x14ac:dyDescent="0.35">
      <c r="C49" s="3"/>
      <c r="H49" s="88"/>
      <c r="I49" s="54">
        <f t="shared" si="4"/>
        <v>44605</v>
      </c>
      <c r="J49" s="53"/>
      <c r="K49" s="53"/>
    </row>
    <row r="50" spans="3:11" ht="19.95" customHeight="1" thickBot="1" x14ac:dyDescent="0.35">
      <c r="C50" s="3"/>
      <c r="H50" s="55" t="s">
        <v>152</v>
      </c>
      <c r="I50" s="55"/>
      <c r="J50" s="50" t="str">
        <f>IFERROR(ROUND(AVERAGE(J43:J49),0),"")</f>
        <v/>
      </c>
      <c r="K50" s="50" t="str">
        <f>IFERROR(ROUND(AVERAGE(K43:K49),2),"")</f>
        <v/>
      </c>
    </row>
    <row r="51" spans="3:11" ht="19.95" customHeight="1" thickBot="1" x14ac:dyDescent="0.35">
      <c r="C51" s="3"/>
      <c r="H51" s="86">
        <f>1+H43</f>
        <v>7</v>
      </c>
      <c r="I51" s="54">
        <f>I43+7</f>
        <v>44606</v>
      </c>
      <c r="J51" s="53"/>
      <c r="K51" s="53"/>
    </row>
    <row r="52" spans="3:11" ht="19.95" customHeight="1" thickBot="1" x14ac:dyDescent="0.35">
      <c r="C52" s="3"/>
      <c r="H52" s="87"/>
      <c r="I52" s="54">
        <f t="shared" ref="I52:I57" si="5">I44+7</f>
        <v>44607</v>
      </c>
      <c r="J52" s="53"/>
      <c r="K52" s="53"/>
    </row>
    <row r="53" spans="3:11" ht="19.95" customHeight="1" thickBot="1" x14ac:dyDescent="0.35">
      <c r="C53" s="3"/>
      <c r="H53" s="87"/>
      <c r="I53" s="54">
        <f t="shared" si="5"/>
        <v>44608</v>
      </c>
      <c r="J53" s="53"/>
      <c r="K53" s="53"/>
    </row>
    <row r="54" spans="3:11" ht="19.95" customHeight="1" thickBot="1" x14ac:dyDescent="0.35">
      <c r="C54" s="3"/>
      <c r="H54" s="87"/>
      <c r="I54" s="54">
        <f t="shared" si="5"/>
        <v>44609</v>
      </c>
      <c r="J54" s="53"/>
      <c r="K54" s="53"/>
    </row>
    <row r="55" spans="3:11" ht="19.95" customHeight="1" thickBot="1" x14ac:dyDescent="0.35">
      <c r="C55" s="3"/>
      <c r="H55" s="87"/>
      <c r="I55" s="54">
        <f t="shared" si="5"/>
        <v>44610</v>
      </c>
      <c r="J55" s="53"/>
      <c r="K55" s="53"/>
    </row>
    <row r="56" spans="3:11" ht="19.95" customHeight="1" thickBot="1" x14ac:dyDescent="0.35">
      <c r="C56" s="3"/>
      <c r="H56" s="87"/>
      <c r="I56" s="54">
        <f t="shared" si="5"/>
        <v>44611</v>
      </c>
      <c r="J56" s="53"/>
      <c r="K56" s="53"/>
    </row>
    <row r="57" spans="3:11" ht="19.95" customHeight="1" thickBot="1" x14ac:dyDescent="0.35">
      <c r="C57" s="3"/>
      <c r="H57" s="88"/>
      <c r="I57" s="54">
        <f t="shared" si="5"/>
        <v>44612</v>
      </c>
      <c r="J57" s="53"/>
      <c r="K57" s="53"/>
    </row>
    <row r="58" spans="3:11" ht="19.95" customHeight="1" thickBot="1" x14ac:dyDescent="0.35">
      <c r="C58" s="3"/>
      <c r="H58" s="55" t="s">
        <v>152</v>
      </c>
      <c r="I58" s="55"/>
      <c r="J58" s="50" t="str">
        <f>IFERROR(ROUND(AVERAGE(J51:J57),0),"")</f>
        <v/>
      </c>
      <c r="K58" s="50" t="str">
        <f>IFERROR(ROUND(AVERAGE(K51:K57),2),"")</f>
        <v/>
      </c>
    </row>
    <row r="59" spans="3:11" ht="19.95" customHeight="1" thickBot="1" x14ac:dyDescent="0.35">
      <c r="C59" s="3"/>
      <c r="H59" s="86">
        <f>1+H51</f>
        <v>8</v>
      </c>
      <c r="I59" s="54">
        <f>I51+7</f>
        <v>44613</v>
      </c>
      <c r="J59" s="53"/>
      <c r="K59" s="53"/>
    </row>
    <row r="60" spans="3:11" ht="19.95" customHeight="1" thickBot="1" x14ac:dyDescent="0.35">
      <c r="C60" s="3"/>
      <c r="H60" s="87"/>
      <c r="I60" s="54">
        <f t="shared" ref="I60:I65" si="6">I52+7</f>
        <v>44614</v>
      </c>
      <c r="J60" s="53"/>
      <c r="K60" s="53"/>
    </row>
    <row r="61" spans="3:11" ht="19.95" customHeight="1" thickBot="1" x14ac:dyDescent="0.35">
      <c r="C61" s="3"/>
      <c r="H61" s="87"/>
      <c r="I61" s="54">
        <f t="shared" si="6"/>
        <v>44615</v>
      </c>
      <c r="J61" s="53"/>
      <c r="K61" s="53"/>
    </row>
    <row r="62" spans="3:11" ht="19.95" customHeight="1" thickBot="1" x14ac:dyDescent="0.35">
      <c r="C62" s="3"/>
      <c r="H62" s="87"/>
      <c r="I62" s="54">
        <f t="shared" si="6"/>
        <v>44616</v>
      </c>
      <c r="J62" s="53"/>
      <c r="K62" s="53"/>
    </row>
    <row r="63" spans="3:11" ht="19.95" customHeight="1" thickBot="1" x14ac:dyDescent="0.35">
      <c r="C63" s="3"/>
      <c r="H63" s="87"/>
      <c r="I63" s="54">
        <f t="shared" si="6"/>
        <v>44617</v>
      </c>
      <c r="J63" s="53"/>
      <c r="K63" s="53"/>
    </row>
    <row r="64" spans="3:11" ht="19.95" customHeight="1" thickBot="1" x14ac:dyDescent="0.35">
      <c r="C64" s="3"/>
      <c r="H64" s="87"/>
      <c r="I64" s="54">
        <f t="shared" si="6"/>
        <v>44618</v>
      </c>
      <c r="J64" s="53"/>
      <c r="K64" s="53"/>
    </row>
    <row r="65" spans="3:11" ht="19.95" customHeight="1" thickBot="1" x14ac:dyDescent="0.35">
      <c r="C65" s="3"/>
      <c r="H65" s="88"/>
      <c r="I65" s="54">
        <f t="shared" si="6"/>
        <v>44619</v>
      </c>
      <c r="J65" s="53"/>
      <c r="K65" s="53"/>
    </row>
    <row r="66" spans="3:11" ht="19.95" customHeight="1" thickBot="1" x14ac:dyDescent="0.35">
      <c r="C66" s="3"/>
      <c r="H66" s="55" t="s">
        <v>152</v>
      </c>
      <c r="I66" s="55"/>
      <c r="J66" s="50" t="str">
        <f>IFERROR(ROUND(AVERAGE(J59:J65),0),"")</f>
        <v/>
      </c>
      <c r="K66" s="50" t="str">
        <f>IFERROR(ROUND(AVERAGE(K59:K65),2),"")</f>
        <v/>
      </c>
    </row>
    <row r="67" spans="3:11" ht="19.95" customHeight="1" thickBot="1" x14ac:dyDescent="0.35">
      <c r="C67" s="3"/>
      <c r="H67" s="86">
        <f>1+H59</f>
        <v>9</v>
      </c>
      <c r="I67" s="54">
        <f>I59+7</f>
        <v>44620</v>
      </c>
      <c r="J67" s="53"/>
      <c r="K67" s="53"/>
    </row>
    <row r="68" spans="3:11" ht="19.95" customHeight="1" thickBot="1" x14ac:dyDescent="0.35">
      <c r="C68" s="3"/>
      <c r="H68" s="87"/>
      <c r="I68" s="54">
        <f t="shared" ref="I68:I73" si="7">I60+7</f>
        <v>44621</v>
      </c>
      <c r="J68" s="53"/>
      <c r="K68" s="53"/>
    </row>
    <row r="69" spans="3:11" ht="19.95" customHeight="1" thickBot="1" x14ac:dyDescent="0.35">
      <c r="C69" s="3"/>
      <c r="H69" s="87"/>
      <c r="I69" s="54">
        <f t="shared" si="7"/>
        <v>44622</v>
      </c>
      <c r="J69" s="53"/>
      <c r="K69" s="53"/>
    </row>
    <row r="70" spans="3:11" ht="19.95" customHeight="1" thickBot="1" x14ac:dyDescent="0.35">
      <c r="C70" s="3"/>
      <c r="H70" s="87"/>
      <c r="I70" s="54">
        <f t="shared" si="7"/>
        <v>44623</v>
      </c>
      <c r="J70" s="53"/>
      <c r="K70" s="53"/>
    </row>
    <row r="71" spans="3:11" ht="19.95" customHeight="1" thickBot="1" x14ac:dyDescent="0.35">
      <c r="C71" s="3"/>
      <c r="H71" s="87"/>
      <c r="I71" s="54">
        <f t="shared" si="7"/>
        <v>44624</v>
      </c>
      <c r="J71" s="53"/>
      <c r="K71" s="53"/>
    </row>
    <row r="72" spans="3:11" ht="19.95" customHeight="1" thickBot="1" x14ac:dyDescent="0.35">
      <c r="C72" s="3"/>
      <c r="H72" s="87"/>
      <c r="I72" s="54">
        <f t="shared" si="7"/>
        <v>44625</v>
      </c>
      <c r="J72" s="53"/>
      <c r="K72" s="53"/>
    </row>
    <row r="73" spans="3:11" ht="19.95" customHeight="1" thickBot="1" x14ac:dyDescent="0.35">
      <c r="C73" s="3"/>
      <c r="H73" s="88"/>
      <c r="I73" s="54">
        <f t="shared" si="7"/>
        <v>44626</v>
      </c>
      <c r="J73" s="53"/>
      <c r="K73" s="53"/>
    </row>
    <row r="74" spans="3:11" ht="19.95" customHeight="1" thickBot="1" x14ac:dyDescent="0.35">
      <c r="C74" s="3"/>
      <c r="H74" s="55" t="s">
        <v>152</v>
      </c>
      <c r="I74" s="55"/>
      <c r="J74" s="50" t="str">
        <f>IFERROR(ROUND(AVERAGE(J67:J73),0),"")</f>
        <v/>
      </c>
      <c r="K74" s="50" t="str">
        <f>IFERROR(ROUND(AVERAGE(K67:K73),2),"")</f>
        <v/>
      </c>
    </row>
    <row r="75" spans="3:11" ht="19.95" customHeight="1" thickBot="1" x14ac:dyDescent="0.35">
      <c r="C75" s="3"/>
      <c r="H75" s="86">
        <f>1+H67</f>
        <v>10</v>
      </c>
      <c r="I75" s="54">
        <f>I67+7</f>
        <v>44627</v>
      </c>
      <c r="J75" s="53"/>
      <c r="K75" s="53"/>
    </row>
    <row r="76" spans="3:11" ht="19.95" customHeight="1" thickBot="1" x14ac:dyDescent="0.35">
      <c r="C76" s="3"/>
      <c r="H76" s="87"/>
      <c r="I76" s="54">
        <f t="shared" ref="I76:I81" si="8">I68+7</f>
        <v>44628</v>
      </c>
      <c r="J76" s="53"/>
      <c r="K76" s="53"/>
    </row>
    <row r="77" spans="3:11" ht="19.95" customHeight="1" thickBot="1" x14ac:dyDescent="0.35">
      <c r="C77" s="3"/>
      <c r="H77" s="87"/>
      <c r="I77" s="54">
        <f t="shared" si="8"/>
        <v>44629</v>
      </c>
      <c r="J77" s="53"/>
      <c r="K77" s="53"/>
    </row>
    <row r="78" spans="3:11" ht="19.95" customHeight="1" thickBot="1" x14ac:dyDescent="0.35">
      <c r="C78" s="3"/>
      <c r="H78" s="87"/>
      <c r="I78" s="54">
        <f t="shared" si="8"/>
        <v>44630</v>
      </c>
      <c r="J78" s="53"/>
      <c r="K78" s="53"/>
    </row>
    <row r="79" spans="3:11" ht="19.95" customHeight="1" thickBot="1" x14ac:dyDescent="0.35">
      <c r="C79" s="3"/>
      <c r="H79" s="87"/>
      <c r="I79" s="54">
        <f t="shared" si="8"/>
        <v>44631</v>
      </c>
      <c r="J79" s="53"/>
      <c r="K79" s="53"/>
    </row>
    <row r="80" spans="3:11" ht="19.95" customHeight="1" thickBot="1" x14ac:dyDescent="0.35">
      <c r="C80" s="3"/>
      <c r="H80" s="87"/>
      <c r="I80" s="54">
        <f t="shared" si="8"/>
        <v>44632</v>
      </c>
      <c r="J80" s="53"/>
      <c r="K80" s="53"/>
    </row>
    <row r="81" spans="3:11" ht="19.95" customHeight="1" thickBot="1" x14ac:dyDescent="0.35">
      <c r="C81" s="3"/>
      <c r="H81" s="88"/>
      <c r="I81" s="54">
        <f t="shared" si="8"/>
        <v>44633</v>
      </c>
      <c r="J81" s="53"/>
      <c r="K81" s="53"/>
    </row>
    <row r="82" spans="3:11" ht="19.95" customHeight="1" thickBot="1" x14ac:dyDescent="0.35">
      <c r="C82" s="3"/>
      <c r="H82" s="55" t="s">
        <v>152</v>
      </c>
      <c r="I82" s="55"/>
      <c r="J82" s="50" t="str">
        <f>IFERROR(ROUND(AVERAGE(J75:J81),0),"")</f>
        <v/>
      </c>
      <c r="K82" s="50" t="str">
        <f>IFERROR(ROUND(AVERAGE(K75:K81),2),"")</f>
        <v/>
      </c>
    </row>
    <row r="83" spans="3:11" ht="19.95" customHeight="1" thickBot="1" x14ac:dyDescent="0.35">
      <c r="C83" s="3"/>
      <c r="H83" s="86">
        <f>1+H75</f>
        <v>11</v>
      </c>
      <c r="I83" s="54">
        <f>I75+7</f>
        <v>44634</v>
      </c>
      <c r="J83" s="53"/>
      <c r="K83" s="53"/>
    </row>
    <row r="84" spans="3:11" ht="19.95" customHeight="1" thickBot="1" x14ac:dyDescent="0.35">
      <c r="C84" s="3"/>
      <c r="H84" s="87"/>
      <c r="I84" s="54">
        <f t="shared" ref="I84:I89" si="9">I76+7</f>
        <v>44635</v>
      </c>
      <c r="J84" s="53"/>
      <c r="K84" s="53"/>
    </row>
    <row r="85" spans="3:11" ht="19.95" customHeight="1" thickBot="1" x14ac:dyDescent="0.35">
      <c r="C85" s="3"/>
      <c r="H85" s="87"/>
      <c r="I85" s="54">
        <f t="shared" si="9"/>
        <v>44636</v>
      </c>
      <c r="J85" s="53"/>
      <c r="K85" s="53"/>
    </row>
    <row r="86" spans="3:11" ht="19.95" customHeight="1" thickBot="1" x14ac:dyDescent="0.35">
      <c r="C86" s="3"/>
      <c r="H86" s="87"/>
      <c r="I86" s="54">
        <f t="shared" si="9"/>
        <v>44637</v>
      </c>
      <c r="J86" s="53"/>
      <c r="K86" s="53"/>
    </row>
    <row r="87" spans="3:11" ht="19.95" customHeight="1" thickBot="1" x14ac:dyDescent="0.35">
      <c r="C87" s="3"/>
      <c r="H87" s="87"/>
      <c r="I87" s="54">
        <f t="shared" si="9"/>
        <v>44638</v>
      </c>
      <c r="J87" s="53"/>
      <c r="K87" s="53"/>
    </row>
    <row r="88" spans="3:11" ht="19.95" customHeight="1" thickBot="1" x14ac:dyDescent="0.35">
      <c r="C88" s="3"/>
      <c r="H88" s="87"/>
      <c r="I88" s="54">
        <f t="shared" si="9"/>
        <v>44639</v>
      </c>
      <c r="J88" s="53"/>
      <c r="K88" s="53"/>
    </row>
    <row r="89" spans="3:11" ht="19.95" customHeight="1" thickBot="1" x14ac:dyDescent="0.35">
      <c r="C89" s="3"/>
      <c r="H89" s="88"/>
      <c r="I89" s="54">
        <f t="shared" si="9"/>
        <v>44640</v>
      </c>
      <c r="J89" s="53"/>
      <c r="K89" s="53"/>
    </row>
    <row r="90" spans="3:11" ht="19.95" customHeight="1" thickBot="1" x14ac:dyDescent="0.35">
      <c r="C90" s="3"/>
      <c r="H90" s="55" t="s">
        <v>152</v>
      </c>
      <c r="I90" s="55"/>
      <c r="J90" s="50" t="str">
        <f>IFERROR(ROUND(AVERAGE(J83:J89),0),"")</f>
        <v/>
      </c>
      <c r="K90" s="50" t="str">
        <f>IFERROR(ROUND(AVERAGE(K83:K89),2),"")</f>
        <v/>
      </c>
    </row>
    <row r="91" spans="3:11" ht="19.95" customHeight="1" thickBot="1" x14ac:dyDescent="0.35">
      <c r="C91" s="3"/>
      <c r="H91" s="86">
        <f>1+H83</f>
        <v>12</v>
      </c>
      <c r="I91" s="54">
        <f>I83+7</f>
        <v>44641</v>
      </c>
      <c r="J91" s="53"/>
      <c r="K91" s="53"/>
    </row>
    <row r="92" spans="3:11" ht="19.95" customHeight="1" thickBot="1" x14ac:dyDescent="0.35">
      <c r="C92" s="3"/>
      <c r="H92" s="87"/>
      <c r="I92" s="54">
        <f t="shared" ref="I92:I97" si="10">I84+7</f>
        <v>44642</v>
      </c>
      <c r="J92" s="53"/>
      <c r="K92" s="53"/>
    </row>
    <row r="93" spans="3:11" ht="19.95" customHeight="1" thickBot="1" x14ac:dyDescent="0.35">
      <c r="C93" s="3"/>
      <c r="H93" s="87"/>
      <c r="I93" s="54">
        <f t="shared" si="10"/>
        <v>44643</v>
      </c>
      <c r="J93" s="53"/>
      <c r="K93" s="53"/>
    </row>
    <row r="94" spans="3:11" ht="19.95" customHeight="1" thickBot="1" x14ac:dyDescent="0.35">
      <c r="C94" s="3"/>
      <c r="H94" s="87"/>
      <c r="I94" s="54">
        <f t="shared" si="10"/>
        <v>44644</v>
      </c>
      <c r="J94" s="53"/>
      <c r="K94" s="53"/>
    </row>
    <row r="95" spans="3:11" ht="19.95" customHeight="1" thickBot="1" x14ac:dyDescent="0.35">
      <c r="C95" s="3"/>
      <c r="H95" s="87"/>
      <c r="I95" s="54">
        <f t="shared" si="10"/>
        <v>44645</v>
      </c>
      <c r="J95" s="53"/>
      <c r="K95" s="53"/>
    </row>
    <row r="96" spans="3:11" ht="19.95" customHeight="1" thickBot="1" x14ac:dyDescent="0.35">
      <c r="C96" s="3"/>
      <c r="H96" s="87"/>
      <c r="I96" s="54">
        <f t="shared" si="10"/>
        <v>44646</v>
      </c>
      <c r="J96" s="53"/>
      <c r="K96" s="53"/>
    </row>
    <row r="97" spans="3:11" ht="19.95" customHeight="1" thickBot="1" x14ac:dyDescent="0.35">
      <c r="C97" s="3"/>
      <c r="H97" s="88"/>
      <c r="I97" s="54">
        <f t="shared" si="10"/>
        <v>44647</v>
      </c>
      <c r="J97" s="53"/>
      <c r="K97" s="53"/>
    </row>
    <row r="98" spans="3:11" ht="19.95" customHeight="1" thickBot="1" x14ac:dyDescent="0.35">
      <c r="C98" s="3"/>
      <c r="H98" s="55" t="s">
        <v>152</v>
      </c>
      <c r="I98" s="55"/>
      <c r="J98" s="50" t="str">
        <f>IFERROR(ROUND(AVERAGE(J91:J97),0),"")</f>
        <v/>
      </c>
      <c r="K98" s="50" t="str">
        <f>IFERROR(ROUND(AVERAGE(K91:K97),2),"")</f>
        <v/>
      </c>
    </row>
    <row r="99" spans="3:11" ht="19.95" customHeight="1" thickBot="1" x14ac:dyDescent="0.35">
      <c r="C99" s="3"/>
      <c r="H99" s="86">
        <f>1+H91</f>
        <v>13</v>
      </c>
      <c r="I99" s="54">
        <f>I91+7</f>
        <v>44648</v>
      </c>
      <c r="J99" s="53"/>
      <c r="K99" s="53"/>
    </row>
    <row r="100" spans="3:11" ht="19.95" customHeight="1" thickBot="1" x14ac:dyDescent="0.35">
      <c r="C100" s="3"/>
      <c r="H100" s="87"/>
      <c r="I100" s="54">
        <f t="shared" ref="I100:I105" si="11">I92+7</f>
        <v>44649</v>
      </c>
      <c r="J100" s="53"/>
      <c r="K100" s="53"/>
    </row>
    <row r="101" spans="3:11" ht="19.95" customHeight="1" thickBot="1" x14ac:dyDescent="0.35">
      <c r="C101" s="3"/>
      <c r="H101" s="87"/>
      <c r="I101" s="54">
        <f t="shared" si="11"/>
        <v>44650</v>
      </c>
      <c r="J101" s="53"/>
      <c r="K101" s="53"/>
    </row>
    <row r="102" spans="3:11" ht="19.95" customHeight="1" thickBot="1" x14ac:dyDescent="0.35">
      <c r="C102" s="3"/>
      <c r="H102" s="87"/>
      <c r="I102" s="54">
        <f t="shared" si="11"/>
        <v>44651</v>
      </c>
      <c r="J102" s="53"/>
      <c r="K102" s="53"/>
    </row>
    <row r="103" spans="3:11" ht="19.95" customHeight="1" thickBot="1" x14ac:dyDescent="0.35">
      <c r="C103" s="3"/>
      <c r="H103" s="87"/>
      <c r="I103" s="54">
        <f t="shared" si="11"/>
        <v>44652</v>
      </c>
      <c r="J103" s="53"/>
      <c r="K103" s="53"/>
    </row>
    <row r="104" spans="3:11" ht="19.95" customHeight="1" thickBot="1" x14ac:dyDescent="0.35">
      <c r="C104" s="3"/>
      <c r="H104" s="87"/>
      <c r="I104" s="54">
        <f t="shared" si="11"/>
        <v>44653</v>
      </c>
      <c r="J104" s="53"/>
      <c r="K104" s="53"/>
    </row>
    <row r="105" spans="3:11" ht="19.95" customHeight="1" thickBot="1" x14ac:dyDescent="0.35">
      <c r="C105" s="3"/>
      <c r="H105" s="88"/>
      <c r="I105" s="54">
        <f t="shared" si="11"/>
        <v>44654</v>
      </c>
      <c r="J105" s="53"/>
      <c r="K105" s="53"/>
    </row>
    <row r="106" spans="3:11" ht="19.95" customHeight="1" thickBot="1" x14ac:dyDescent="0.35">
      <c r="C106" s="3"/>
      <c r="H106" s="55" t="s">
        <v>152</v>
      </c>
      <c r="I106" s="55"/>
      <c r="J106" s="50" t="str">
        <f>IFERROR(ROUND(AVERAGE(J99:J105),0),"")</f>
        <v/>
      </c>
      <c r="K106" s="50" t="str">
        <f>IFERROR(ROUND(AVERAGE(K99:K105),2),"")</f>
        <v/>
      </c>
    </row>
    <row r="107" spans="3:11" ht="19.95" customHeight="1" thickBot="1" x14ac:dyDescent="0.35">
      <c r="C107" s="3"/>
      <c r="H107" s="86">
        <f>1+H99</f>
        <v>14</v>
      </c>
      <c r="I107" s="54">
        <f>I99+7</f>
        <v>44655</v>
      </c>
      <c r="J107" s="53"/>
      <c r="K107" s="53"/>
    </row>
    <row r="108" spans="3:11" ht="19.95" customHeight="1" thickBot="1" x14ac:dyDescent="0.35">
      <c r="C108" s="3"/>
      <c r="H108" s="87"/>
      <c r="I108" s="54">
        <f t="shared" ref="I108:I113" si="12">I100+7</f>
        <v>44656</v>
      </c>
      <c r="J108" s="53"/>
      <c r="K108" s="53"/>
    </row>
    <row r="109" spans="3:11" ht="19.95" customHeight="1" thickBot="1" x14ac:dyDescent="0.35">
      <c r="C109" s="3"/>
      <c r="H109" s="87"/>
      <c r="I109" s="54">
        <f t="shared" si="12"/>
        <v>44657</v>
      </c>
      <c r="J109" s="53"/>
      <c r="K109" s="53"/>
    </row>
    <row r="110" spans="3:11" ht="19.95" customHeight="1" thickBot="1" x14ac:dyDescent="0.35">
      <c r="C110" s="3"/>
      <c r="H110" s="87"/>
      <c r="I110" s="54">
        <f t="shared" si="12"/>
        <v>44658</v>
      </c>
      <c r="J110" s="53"/>
      <c r="K110" s="53"/>
    </row>
    <row r="111" spans="3:11" ht="19.95" customHeight="1" thickBot="1" x14ac:dyDescent="0.35">
      <c r="C111" s="3"/>
      <c r="H111" s="87"/>
      <c r="I111" s="54">
        <f t="shared" si="12"/>
        <v>44659</v>
      </c>
      <c r="J111" s="53"/>
      <c r="K111" s="53"/>
    </row>
    <row r="112" spans="3:11" ht="19.95" customHeight="1" thickBot="1" x14ac:dyDescent="0.35">
      <c r="C112" s="3"/>
      <c r="H112" s="87"/>
      <c r="I112" s="54">
        <f t="shared" si="12"/>
        <v>44660</v>
      </c>
      <c r="J112" s="53"/>
      <c r="K112" s="53"/>
    </row>
    <row r="113" spans="3:11" ht="19.95" customHeight="1" thickBot="1" x14ac:dyDescent="0.35">
      <c r="C113" s="3"/>
      <c r="H113" s="88"/>
      <c r="I113" s="54">
        <f t="shared" si="12"/>
        <v>44661</v>
      </c>
      <c r="J113" s="53"/>
      <c r="K113" s="53"/>
    </row>
    <row r="114" spans="3:11" ht="19.95" customHeight="1" thickBot="1" x14ac:dyDescent="0.35">
      <c r="C114" s="3"/>
      <c r="H114" s="55" t="s">
        <v>152</v>
      </c>
      <c r="I114" s="55"/>
      <c r="J114" s="50" t="str">
        <f>IFERROR(ROUND(AVERAGE(J107:J113),0),"")</f>
        <v/>
      </c>
      <c r="K114" s="50" t="str">
        <f>IFERROR(ROUND(AVERAGE(K107:K113),2),"")</f>
        <v/>
      </c>
    </row>
    <row r="115" spans="3:11" ht="19.95" customHeight="1" x14ac:dyDescent="0.3">
      <c r="C115" s="3"/>
    </row>
    <row r="116" spans="3:11" ht="19.95" customHeight="1" x14ac:dyDescent="0.3">
      <c r="C116" s="3"/>
    </row>
    <row r="117" spans="3:11" ht="19.95" customHeight="1" x14ac:dyDescent="0.3">
      <c r="C117" s="3"/>
    </row>
    <row r="118" spans="3:11" ht="19.95" customHeight="1" x14ac:dyDescent="0.3">
      <c r="C118" s="3"/>
    </row>
    <row r="119" spans="3:11" ht="19.95" customHeight="1" x14ac:dyDescent="0.3">
      <c r="C119" s="3"/>
    </row>
    <row r="120" spans="3:11" ht="19.95" customHeight="1" x14ac:dyDescent="0.3">
      <c r="C120" s="3"/>
    </row>
    <row r="121" spans="3:11" ht="19.95" customHeight="1" x14ac:dyDescent="0.3">
      <c r="C121" s="3"/>
    </row>
    <row r="122" spans="3:11" ht="19.95" customHeight="1" x14ac:dyDescent="0.3">
      <c r="C122" s="3"/>
    </row>
    <row r="123" spans="3:11" ht="19.95" customHeight="1" x14ac:dyDescent="0.3">
      <c r="C123" s="3"/>
    </row>
    <row r="124" spans="3:11" ht="19.95" customHeight="1" x14ac:dyDescent="0.3">
      <c r="C124" s="3"/>
    </row>
    <row r="125" spans="3:11" ht="19.95" customHeight="1" x14ac:dyDescent="0.3">
      <c r="C125" s="3"/>
    </row>
    <row r="126" spans="3:11" ht="19.95" customHeight="1" x14ac:dyDescent="0.3">
      <c r="C126" s="3"/>
    </row>
    <row r="127" spans="3:11" ht="19.95" customHeight="1" x14ac:dyDescent="0.3">
      <c r="C127" s="3"/>
    </row>
    <row r="128" spans="3:11" ht="19.95" customHeight="1" x14ac:dyDescent="0.3">
      <c r="C128" s="3"/>
    </row>
    <row r="129" spans="3:3" ht="19.95" customHeight="1" x14ac:dyDescent="0.3">
      <c r="C129" s="3"/>
    </row>
    <row r="130" spans="3:3" ht="19.95" customHeight="1" x14ac:dyDescent="0.3">
      <c r="C130" s="3"/>
    </row>
    <row r="131" spans="3:3" ht="19.95" customHeight="1" x14ac:dyDescent="0.3">
      <c r="C131" s="3"/>
    </row>
    <row r="132" spans="3:3" ht="19.95" customHeight="1" x14ac:dyDescent="0.3">
      <c r="C132" s="3"/>
    </row>
    <row r="133" spans="3:3" ht="19.95" customHeight="1" x14ac:dyDescent="0.3">
      <c r="C133" s="3"/>
    </row>
    <row r="134" spans="3:3" ht="19.95" customHeight="1" x14ac:dyDescent="0.3">
      <c r="C134" s="3"/>
    </row>
    <row r="135" spans="3:3" ht="19.95" customHeight="1" x14ac:dyDescent="0.3">
      <c r="C135" s="3"/>
    </row>
    <row r="136" spans="3:3" ht="19.95" customHeight="1" x14ac:dyDescent="0.3">
      <c r="C136" s="3"/>
    </row>
    <row r="137" spans="3:3" ht="19.95" customHeight="1" x14ac:dyDescent="0.3">
      <c r="C137" s="3"/>
    </row>
    <row r="138" spans="3:3" ht="19.95" customHeight="1" x14ac:dyDescent="0.3">
      <c r="C138" s="3"/>
    </row>
    <row r="139" spans="3:3" ht="19.95" customHeight="1" x14ac:dyDescent="0.3">
      <c r="C139" s="3"/>
    </row>
    <row r="140" spans="3:3" ht="19.95" customHeight="1" x14ac:dyDescent="0.3">
      <c r="C140" s="3"/>
    </row>
    <row r="141" spans="3:3" ht="19.95" customHeight="1" x14ac:dyDescent="0.3">
      <c r="C141" s="3"/>
    </row>
    <row r="142" spans="3:3" ht="19.95" customHeight="1" x14ac:dyDescent="0.3">
      <c r="C142" s="3"/>
    </row>
    <row r="143" spans="3:3" ht="19.95" customHeight="1" x14ac:dyDescent="0.3">
      <c r="C143" s="3"/>
    </row>
    <row r="144" spans="3:3" ht="19.95" customHeight="1" x14ac:dyDescent="0.3">
      <c r="C144" s="3"/>
    </row>
    <row r="145" spans="3:3" ht="19.95" customHeight="1" x14ac:dyDescent="0.3">
      <c r="C145" s="3"/>
    </row>
    <row r="146" spans="3:3" ht="19.95" customHeight="1" x14ac:dyDescent="0.3">
      <c r="C146" s="3"/>
    </row>
    <row r="147" spans="3:3" ht="19.95" customHeight="1" x14ac:dyDescent="0.3">
      <c r="C147" s="3"/>
    </row>
    <row r="148" spans="3:3" ht="19.95" customHeight="1" x14ac:dyDescent="0.3">
      <c r="C148" s="3"/>
    </row>
    <row r="149" spans="3:3" ht="19.95" customHeight="1" x14ac:dyDescent="0.3">
      <c r="C149" s="3"/>
    </row>
    <row r="150" spans="3:3" ht="19.95" customHeight="1" x14ac:dyDescent="0.3">
      <c r="C150" s="3"/>
    </row>
    <row r="151" spans="3:3" ht="19.95" customHeight="1" x14ac:dyDescent="0.3">
      <c r="C151" s="3"/>
    </row>
    <row r="152" spans="3:3" ht="19.95" customHeight="1" x14ac:dyDescent="0.3">
      <c r="C152" s="3"/>
    </row>
    <row r="153" spans="3:3" ht="19.95" customHeight="1" x14ac:dyDescent="0.3">
      <c r="C153" s="3"/>
    </row>
    <row r="154" spans="3:3" ht="19.95" customHeight="1" x14ac:dyDescent="0.3">
      <c r="C154" s="3"/>
    </row>
    <row r="155" spans="3:3" ht="19.95" customHeight="1" x14ac:dyDescent="0.3">
      <c r="C155" s="3"/>
    </row>
    <row r="156" spans="3:3" ht="19.95" customHeight="1" x14ac:dyDescent="0.3">
      <c r="C156" s="3"/>
    </row>
    <row r="157" spans="3:3" ht="19.95" customHeight="1" x14ac:dyDescent="0.3">
      <c r="C157" s="3"/>
    </row>
    <row r="158" spans="3:3" ht="19.95" customHeight="1" x14ac:dyDescent="0.3">
      <c r="C158" s="3"/>
    </row>
    <row r="159" spans="3:3" ht="19.95" customHeight="1" x14ac:dyDescent="0.3">
      <c r="C159" s="3"/>
    </row>
    <row r="160" spans="3:3" ht="19.95" customHeight="1" x14ac:dyDescent="0.3">
      <c r="C160" s="3"/>
    </row>
    <row r="161" spans="3:3" ht="19.95" customHeight="1" x14ac:dyDescent="0.3">
      <c r="C161" s="3"/>
    </row>
    <row r="162" spans="3:3" ht="19.95" customHeight="1" x14ac:dyDescent="0.3">
      <c r="C162" s="3"/>
    </row>
    <row r="163" spans="3:3" ht="19.95" customHeight="1" x14ac:dyDescent="0.3">
      <c r="C163" s="3"/>
    </row>
    <row r="164" spans="3:3" ht="19.95" customHeight="1" x14ac:dyDescent="0.3">
      <c r="C164" s="3"/>
    </row>
    <row r="165" spans="3:3" ht="19.95" customHeight="1" x14ac:dyDescent="0.3">
      <c r="C165" s="3"/>
    </row>
    <row r="166" spans="3:3" ht="19.95" customHeight="1" x14ac:dyDescent="0.3">
      <c r="C166" s="3"/>
    </row>
    <row r="167" spans="3:3" ht="19.95" customHeight="1" x14ac:dyDescent="0.3">
      <c r="C167" s="3"/>
    </row>
    <row r="168" spans="3:3" ht="19.95" customHeight="1" x14ac:dyDescent="0.3">
      <c r="C168" s="3"/>
    </row>
    <row r="169" spans="3:3" ht="19.95" customHeight="1" x14ac:dyDescent="0.3">
      <c r="C169" s="3"/>
    </row>
    <row r="170" spans="3:3" ht="19.95" customHeight="1" x14ac:dyDescent="0.3">
      <c r="C170" s="3"/>
    </row>
    <row r="171" spans="3:3" ht="19.95" customHeight="1" x14ac:dyDescent="0.3">
      <c r="C171" s="3"/>
    </row>
    <row r="172" spans="3:3" ht="19.95" customHeight="1" x14ac:dyDescent="0.3">
      <c r="C172" s="3"/>
    </row>
    <row r="173" spans="3:3" ht="19.95" customHeight="1" x14ac:dyDescent="0.3">
      <c r="C173" s="3"/>
    </row>
    <row r="174" spans="3:3" ht="19.95" customHeight="1" x14ac:dyDescent="0.3">
      <c r="C174" s="3"/>
    </row>
    <row r="175" spans="3:3" ht="19.95" customHeight="1" x14ac:dyDescent="0.3">
      <c r="C175" s="3"/>
    </row>
    <row r="176" spans="3:3" ht="19.95" customHeight="1" x14ac:dyDescent="0.3">
      <c r="C176" s="3"/>
    </row>
    <row r="177" spans="3:3" ht="19.95" customHeight="1" x14ac:dyDescent="0.3">
      <c r="C177" s="3"/>
    </row>
    <row r="178" spans="3:3" ht="19.95" customHeight="1" x14ac:dyDescent="0.3">
      <c r="C178" s="3"/>
    </row>
    <row r="179" spans="3:3" ht="19.95" customHeight="1" x14ac:dyDescent="0.3">
      <c r="C179" s="3"/>
    </row>
    <row r="180" spans="3:3" ht="19.95" customHeight="1" x14ac:dyDescent="0.3">
      <c r="C180" s="3"/>
    </row>
    <row r="181" spans="3:3" ht="19.95" customHeight="1" x14ac:dyDescent="0.3">
      <c r="C181" s="3"/>
    </row>
    <row r="182" spans="3:3" ht="19.95" customHeight="1" x14ac:dyDescent="0.3">
      <c r="C182" s="3"/>
    </row>
    <row r="183" spans="3:3" ht="19.95" customHeight="1" x14ac:dyDescent="0.3">
      <c r="C183" s="3"/>
    </row>
    <row r="184" spans="3:3" ht="19.95" customHeight="1" x14ac:dyDescent="0.3">
      <c r="C184" s="3"/>
    </row>
    <row r="185" spans="3:3" ht="19.95" customHeight="1" x14ac:dyDescent="0.3">
      <c r="C185" s="3"/>
    </row>
    <row r="186" spans="3:3" ht="19.95" customHeight="1" x14ac:dyDescent="0.3">
      <c r="C186" s="3"/>
    </row>
    <row r="187" spans="3:3" ht="19.95" customHeight="1" x14ac:dyDescent="0.3">
      <c r="C187" s="3"/>
    </row>
    <row r="188" spans="3:3" ht="19.95" customHeight="1" x14ac:dyDescent="0.3">
      <c r="C188" s="3"/>
    </row>
    <row r="189" spans="3:3" ht="19.95" customHeight="1" x14ac:dyDescent="0.3">
      <c r="C189" s="3"/>
    </row>
    <row r="190" spans="3:3" ht="19.95" customHeight="1" x14ac:dyDescent="0.3">
      <c r="C190" s="3"/>
    </row>
    <row r="191" spans="3:3" ht="19.95" customHeight="1" x14ac:dyDescent="0.3">
      <c r="C191" s="3"/>
    </row>
    <row r="192" spans="3:3" ht="19.95" customHeight="1" x14ac:dyDescent="0.3">
      <c r="C192" s="3"/>
    </row>
    <row r="193" spans="3:3" ht="19.95" customHeight="1" x14ac:dyDescent="0.3">
      <c r="C193" s="3"/>
    </row>
    <row r="194" spans="3:3" ht="19.95" customHeight="1" x14ac:dyDescent="0.3">
      <c r="C194" s="3"/>
    </row>
    <row r="195" spans="3:3" ht="19.95" customHeight="1" x14ac:dyDescent="0.3">
      <c r="C195" s="3"/>
    </row>
    <row r="196" spans="3:3" ht="19.95" customHeight="1" x14ac:dyDescent="0.3">
      <c r="C196" s="3"/>
    </row>
    <row r="197" spans="3:3" ht="19.95" customHeight="1" x14ac:dyDescent="0.3">
      <c r="C197" s="3"/>
    </row>
    <row r="198" spans="3:3" ht="19.95" customHeight="1" x14ac:dyDescent="0.3">
      <c r="C198" s="3"/>
    </row>
    <row r="199" spans="3:3" ht="19.95" customHeight="1" x14ac:dyDescent="0.3">
      <c r="C199" s="3"/>
    </row>
    <row r="200" spans="3:3" ht="19.95" customHeight="1" x14ac:dyDescent="0.3">
      <c r="C200" s="3"/>
    </row>
    <row r="201" spans="3:3" ht="19.95" customHeight="1" x14ac:dyDescent="0.3">
      <c r="C201" s="3"/>
    </row>
    <row r="202" spans="3:3" ht="19.95" customHeight="1" x14ac:dyDescent="0.3">
      <c r="C202" s="3"/>
    </row>
    <row r="203" spans="3:3" ht="19.95" customHeight="1" x14ac:dyDescent="0.3">
      <c r="C203" s="3"/>
    </row>
    <row r="204" spans="3:3" ht="19.95" customHeight="1" x14ac:dyDescent="0.3">
      <c r="C204" s="3"/>
    </row>
    <row r="205" spans="3:3" ht="19.95" customHeight="1" x14ac:dyDescent="0.3">
      <c r="C205" s="3"/>
    </row>
    <row r="206" spans="3:3" ht="19.95" customHeight="1" x14ac:dyDescent="0.3">
      <c r="C206" s="3"/>
    </row>
    <row r="207" spans="3:3" ht="19.95" customHeight="1" x14ac:dyDescent="0.3">
      <c r="C207" s="3"/>
    </row>
    <row r="208" spans="3:3" ht="19.95" customHeight="1" x14ac:dyDescent="0.3">
      <c r="C208" s="3"/>
    </row>
    <row r="209" spans="3:3" ht="19.95" customHeight="1" x14ac:dyDescent="0.3">
      <c r="C209" s="3"/>
    </row>
    <row r="210" spans="3:3" ht="19.95" customHeight="1" x14ac:dyDescent="0.3">
      <c r="C210" s="3"/>
    </row>
    <row r="211" spans="3:3" ht="19.95" customHeight="1" x14ac:dyDescent="0.3">
      <c r="C211" s="3"/>
    </row>
    <row r="212" spans="3:3" ht="19.95" customHeight="1" x14ac:dyDescent="0.3">
      <c r="C212" s="3"/>
    </row>
    <row r="213" spans="3:3" ht="19.95" customHeight="1" x14ac:dyDescent="0.3">
      <c r="C213" s="3"/>
    </row>
    <row r="214" spans="3:3" ht="19.95" customHeight="1" x14ac:dyDescent="0.3">
      <c r="C214" s="3"/>
    </row>
    <row r="215" spans="3:3" ht="19.95" customHeight="1" x14ac:dyDescent="0.3">
      <c r="C215" s="3"/>
    </row>
    <row r="216" spans="3:3" ht="19.95" customHeight="1" x14ac:dyDescent="0.3">
      <c r="C216" s="3"/>
    </row>
    <row r="217" spans="3:3" ht="19.95" customHeight="1" x14ac:dyDescent="0.3">
      <c r="C217" s="3"/>
    </row>
    <row r="218" spans="3:3" ht="19.95" customHeight="1" x14ac:dyDescent="0.3">
      <c r="C218" s="3"/>
    </row>
    <row r="219" spans="3:3" ht="19.95" customHeight="1" x14ac:dyDescent="0.3">
      <c r="C219" s="3"/>
    </row>
    <row r="220" spans="3:3" ht="19.95" customHeight="1" x14ac:dyDescent="0.3">
      <c r="C220" s="3"/>
    </row>
    <row r="221" spans="3:3" ht="19.95" customHeight="1" x14ac:dyDescent="0.3">
      <c r="C221" s="3"/>
    </row>
    <row r="222" spans="3:3" ht="19.95" customHeight="1" x14ac:dyDescent="0.3">
      <c r="C222" s="3"/>
    </row>
    <row r="223" spans="3:3" ht="19.95" customHeight="1" x14ac:dyDescent="0.3">
      <c r="C223" s="3"/>
    </row>
    <row r="224" spans="3:3" ht="19.95" customHeight="1" x14ac:dyDescent="0.3">
      <c r="C224" s="3"/>
    </row>
    <row r="225" spans="3:3" ht="19.95" customHeight="1" x14ac:dyDescent="0.3">
      <c r="C225" s="3"/>
    </row>
    <row r="226" spans="3:3" ht="19.95" customHeight="1" x14ac:dyDescent="0.3">
      <c r="C226" s="3"/>
    </row>
    <row r="227" spans="3:3" ht="19.95" customHeight="1" x14ac:dyDescent="0.3">
      <c r="C227" s="3"/>
    </row>
    <row r="228" spans="3:3" ht="19.95" customHeight="1" x14ac:dyDescent="0.3">
      <c r="C228" s="3"/>
    </row>
    <row r="229" spans="3:3" ht="19.95" customHeight="1" x14ac:dyDescent="0.3">
      <c r="C229" s="3"/>
    </row>
    <row r="230" spans="3:3" ht="19.95" customHeight="1" x14ac:dyDescent="0.3">
      <c r="C230" s="3"/>
    </row>
    <row r="231" spans="3:3" ht="19.95" customHeight="1" x14ac:dyDescent="0.3">
      <c r="C231" s="3"/>
    </row>
    <row r="232" spans="3:3" ht="19.95" customHeight="1" x14ac:dyDescent="0.3">
      <c r="C232" s="3"/>
    </row>
    <row r="233" spans="3:3" ht="19.95" customHeight="1" x14ac:dyDescent="0.3">
      <c r="C233" s="3"/>
    </row>
    <row r="234" spans="3:3" ht="19.95" customHeight="1" x14ac:dyDescent="0.3">
      <c r="C234" s="3"/>
    </row>
    <row r="235" spans="3:3" ht="19.95" customHeight="1" x14ac:dyDescent="0.3">
      <c r="C235" s="3"/>
    </row>
    <row r="236" spans="3:3" ht="19.95" customHeight="1" x14ac:dyDescent="0.3">
      <c r="C236" s="3"/>
    </row>
    <row r="237" spans="3:3" ht="19.95" customHeight="1" x14ac:dyDescent="0.3">
      <c r="C237" s="3"/>
    </row>
    <row r="238" spans="3:3" ht="19.95" customHeight="1" x14ac:dyDescent="0.3">
      <c r="C238" s="3"/>
    </row>
    <row r="239" spans="3:3" ht="19.95" customHeight="1" x14ac:dyDescent="0.3">
      <c r="C239" s="3"/>
    </row>
    <row r="240" spans="3:3" ht="19.95" customHeight="1" x14ac:dyDescent="0.3">
      <c r="C240" s="3"/>
    </row>
    <row r="241" spans="3:3" ht="19.95" customHeight="1" x14ac:dyDescent="0.3">
      <c r="C241" s="3"/>
    </row>
    <row r="242" spans="3:3" ht="19.95" customHeight="1" x14ac:dyDescent="0.3">
      <c r="C242" s="3"/>
    </row>
    <row r="243" spans="3:3" ht="19.95" customHeight="1" x14ac:dyDescent="0.3">
      <c r="C243" s="3"/>
    </row>
    <row r="244" spans="3:3" ht="19.95" customHeight="1" x14ac:dyDescent="0.3">
      <c r="C244" s="3"/>
    </row>
    <row r="245" spans="3:3" ht="19.95" customHeight="1" x14ac:dyDescent="0.3">
      <c r="C245" s="3"/>
    </row>
    <row r="246" spans="3:3" ht="19.95" customHeight="1" x14ac:dyDescent="0.3">
      <c r="C246" s="3"/>
    </row>
    <row r="247" spans="3:3" ht="19.95" customHeight="1" x14ac:dyDescent="0.3">
      <c r="C247" s="3"/>
    </row>
    <row r="248" spans="3:3" ht="19.95" customHeight="1" x14ac:dyDescent="0.3">
      <c r="C248" s="3"/>
    </row>
    <row r="249" spans="3:3" ht="19.95" customHeight="1" x14ac:dyDescent="0.3">
      <c r="C249" s="3"/>
    </row>
    <row r="250" spans="3:3" ht="19.95" customHeight="1" x14ac:dyDescent="0.3">
      <c r="C250" s="3"/>
    </row>
    <row r="251" spans="3:3" ht="19.95" customHeight="1" x14ac:dyDescent="0.3">
      <c r="C251" s="3"/>
    </row>
    <row r="252" spans="3:3" ht="19.95" customHeight="1" x14ac:dyDescent="0.3">
      <c r="C252" s="3"/>
    </row>
    <row r="253" spans="3:3" ht="19.95" customHeight="1" x14ac:dyDescent="0.3">
      <c r="C253" s="3"/>
    </row>
    <row r="254" spans="3:3" ht="19.95" customHeight="1" x14ac:dyDescent="0.3">
      <c r="C254" s="3"/>
    </row>
    <row r="255" spans="3:3" ht="19.95" customHeight="1" x14ac:dyDescent="0.3">
      <c r="C255" s="3"/>
    </row>
    <row r="256" spans="3:3" ht="19.95" customHeight="1" x14ac:dyDescent="0.3">
      <c r="C256" s="3"/>
    </row>
    <row r="257" spans="3:3" ht="19.95" customHeight="1" x14ac:dyDescent="0.3">
      <c r="C257" s="3"/>
    </row>
    <row r="258" spans="3:3" ht="19.95" customHeight="1" x14ac:dyDescent="0.3">
      <c r="C258" s="3"/>
    </row>
    <row r="259" spans="3:3" ht="19.95" customHeight="1" x14ac:dyDescent="0.3">
      <c r="C259" s="3"/>
    </row>
    <row r="260" spans="3:3" ht="19.95" customHeight="1" x14ac:dyDescent="0.3">
      <c r="C260" s="3"/>
    </row>
    <row r="261" spans="3:3" ht="19.95" customHeight="1" x14ac:dyDescent="0.3">
      <c r="C261" s="3"/>
    </row>
    <row r="262" spans="3:3" ht="19.95" customHeight="1" x14ac:dyDescent="0.3">
      <c r="C262" s="3"/>
    </row>
    <row r="263" spans="3:3" ht="19.95" customHeight="1" x14ac:dyDescent="0.3">
      <c r="C263" s="3"/>
    </row>
    <row r="264" spans="3:3" ht="19.95" customHeight="1" x14ac:dyDescent="0.3">
      <c r="C264" s="3"/>
    </row>
    <row r="265" spans="3:3" ht="19.95" customHeight="1" x14ac:dyDescent="0.3">
      <c r="C265" s="3"/>
    </row>
    <row r="266" spans="3:3" ht="19.95" customHeight="1" x14ac:dyDescent="0.3">
      <c r="C266" s="3"/>
    </row>
    <row r="267" spans="3:3" ht="19.95" customHeight="1" x14ac:dyDescent="0.3">
      <c r="C267" s="3"/>
    </row>
    <row r="268" spans="3:3" ht="19.95" customHeight="1" x14ac:dyDescent="0.3">
      <c r="C268" s="3"/>
    </row>
    <row r="269" spans="3:3" ht="19.95" customHeight="1" x14ac:dyDescent="0.3">
      <c r="C269" s="3"/>
    </row>
    <row r="270" spans="3:3" ht="19.95" customHeight="1" x14ac:dyDescent="0.3">
      <c r="C270" s="3"/>
    </row>
    <row r="271" spans="3:3" ht="19.95" customHeight="1" x14ac:dyDescent="0.3">
      <c r="C271" s="3"/>
    </row>
    <row r="272" spans="3:3" ht="19.95" customHeight="1" x14ac:dyDescent="0.3">
      <c r="C272" s="3"/>
    </row>
    <row r="273" spans="3:3" ht="19.95" customHeight="1" x14ac:dyDescent="0.3">
      <c r="C273" s="3"/>
    </row>
    <row r="274" spans="3:3" ht="19.95" customHeight="1" x14ac:dyDescent="0.3">
      <c r="C274" s="3"/>
    </row>
    <row r="275" spans="3:3" ht="19.95" customHeight="1" x14ac:dyDescent="0.3">
      <c r="C275" s="3"/>
    </row>
    <row r="276" spans="3:3" ht="19.95" customHeight="1" x14ac:dyDescent="0.3">
      <c r="C276" s="3"/>
    </row>
    <row r="277" spans="3:3" ht="19.95" customHeight="1" x14ac:dyDescent="0.3">
      <c r="C277" s="3"/>
    </row>
    <row r="278" spans="3:3" ht="19.95" customHeight="1" x14ac:dyDescent="0.3">
      <c r="C278" s="3"/>
    </row>
    <row r="279" spans="3:3" ht="19.95" customHeight="1" x14ac:dyDescent="0.3">
      <c r="C279" s="3"/>
    </row>
    <row r="280" spans="3:3" ht="19.95" customHeight="1" x14ac:dyDescent="0.3">
      <c r="C280" s="3"/>
    </row>
    <row r="281" spans="3:3" ht="19.95" customHeight="1" x14ac:dyDescent="0.3">
      <c r="C281" s="3"/>
    </row>
    <row r="282" spans="3:3" ht="19.95" customHeight="1" x14ac:dyDescent="0.3">
      <c r="C282" s="3"/>
    </row>
    <row r="283" spans="3:3" ht="19.95" customHeight="1" x14ac:dyDescent="0.3">
      <c r="C283" s="3"/>
    </row>
    <row r="284" spans="3:3" ht="19.95" customHeight="1" x14ac:dyDescent="0.3">
      <c r="C284" s="3"/>
    </row>
    <row r="285" spans="3:3" ht="19.95" customHeight="1" x14ac:dyDescent="0.3">
      <c r="C285" s="3"/>
    </row>
    <row r="286" spans="3:3" ht="19.95" customHeight="1" x14ac:dyDescent="0.3">
      <c r="C286" s="3"/>
    </row>
    <row r="287" spans="3:3" ht="19.95" customHeight="1" x14ac:dyDescent="0.3">
      <c r="C287" s="3"/>
    </row>
    <row r="288" spans="3:3" ht="19.95" customHeight="1" x14ac:dyDescent="0.3">
      <c r="C288" s="3"/>
    </row>
    <row r="289" spans="3:3" ht="19.95" customHeight="1" x14ac:dyDescent="0.3">
      <c r="C289" s="3"/>
    </row>
    <row r="290" spans="3:3" ht="19.95" customHeight="1" x14ac:dyDescent="0.3">
      <c r="C290" s="3"/>
    </row>
    <row r="291" spans="3:3" ht="19.95" customHeight="1" x14ac:dyDescent="0.3">
      <c r="C291" s="3"/>
    </row>
    <row r="292" spans="3:3" ht="19.95" customHeight="1" x14ac:dyDescent="0.3">
      <c r="C292" s="3"/>
    </row>
    <row r="293" spans="3:3" ht="19.95" customHeight="1" x14ac:dyDescent="0.3">
      <c r="C293" s="3"/>
    </row>
    <row r="294" spans="3:3" ht="19.95" customHeight="1" x14ac:dyDescent="0.3">
      <c r="C294" s="3"/>
    </row>
    <row r="295" spans="3:3" ht="19.95" customHeight="1" x14ac:dyDescent="0.3">
      <c r="C295" s="3"/>
    </row>
    <row r="296" spans="3:3" ht="19.95" customHeight="1" x14ac:dyDescent="0.3">
      <c r="C296" s="3"/>
    </row>
    <row r="297" spans="3:3" ht="19.95" customHeight="1" x14ac:dyDescent="0.3">
      <c r="C297" s="3"/>
    </row>
    <row r="298" spans="3:3" ht="19.95" customHeight="1" x14ac:dyDescent="0.3">
      <c r="C298" s="3"/>
    </row>
    <row r="299" spans="3:3" ht="19.95" customHeight="1" x14ac:dyDescent="0.3">
      <c r="C299" s="3"/>
    </row>
    <row r="300" spans="3:3" ht="19.95" customHeight="1" x14ac:dyDescent="0.3">
      <c r="C300" s="3"/>
    </row>
    <row r="301" spans="3:3" ht="19.95" customHeight="1" x14ac:dyDescent="0.3">
      <c r="C301" s="3"/>
    </row>
    <row r="302" spans="3:3" ht="19.95" customHeight="1" x14ac:dyDescent="0.3">
      <c r="C302" s="3"/>
    </row>
    <row r="303" spans="3:3" ht="19.95" customHeight="1" x14ac:dyDescent="0.3">
      <c r="C303" s="3"/>
    </row>
    <row r="304" spans="3:3" ht="19.95" customHeight="1" x14ac:dyDescent="0.3">
      <c r="C304" s="3"/>
    </row>
    <row r="305" spans="3:3" ht="19.95" customHeight="1" x14ac:dyDescent="0.3">
      <c r="C305" s="3"/>
    </row>
    <row r="306" spans="3:3" ht="19.95" customHeight="1" x14ac:dyDescent="0.3">
      <c r="C306" s="3"/>
    </row>
    <row r="307" spans="3:3" ht="19.95" customHeight="1" x14ac:dyDescent="0.3">
      <c r="C307" s="3"/>
    </row>
    <row r="308" spans="3:3" ht="19.95" customHeight="1" x14ac:dyDescent="0.3">
      <c r="C308" s="3"/>
    </row>
    <row r="309" spans="3:3" ht="19.95" customHeight="1" x14ac:dyDescent="0.3">
      <c r="C309" s="3"/>
    </row>
    <row r="310" spans="3:3" ht="19.95" customHeight="1" x14ac:dyDescent="0.3">
      <c r="C310" s="3"/>
    </row>
    <row r="311" spans="3:3" ht="19.95" customHeight="1" x14ac:dyDescent="0.3">
      <c r="C311" s="3"/>
    </row>
    <row r="312" spans="3:3" ht="19.95" customHeight="1" x14ac:dyDescent="0.3">
      <c r="C312" s="3"/>
    </row>
    <row r="313" spans="3:3" ht="19.95" customHeight="1" x14ac:dyDescent="0.3">
      <c r="C313" s="3"/>
    </row>
    <row r="314" spans="3:3" ht="19.95" customHeight="1" x14ac:dyDescent="0.3">
      <c r="C314" s="3"/>
    </row>
    <row r="315" spans="3:3" ht="19.95" customHeight="1" x14ac:dyDescent="0.3">
      <c r="C315" s="3"/>
    </row>
    <row r="316" spans="3:3" ht="19.95" customHeight="1" x14ac:dyDescent="0.3">
      <c r="C316" s="3"/>
    </row>
    <row r="317" spans="3:3" ht="19.95" customHeight="1" x14ac:dyDescent="0.3">
      <c r="C317" s="3"/>
    </row>
    <row r="318" spans="3:3" ht="19.95" customHeight="1" x14ac:dyDescent="0.3">
      <c r="C318" s="3"/>
    </row>
    <row r="319" spans="3:3" ht="19.95" customHeight="1" x14ac:dyDescent="0.3">
      <c r="C319" s="3"/>
    </row>
    <row r="320" spans="3:3" ht="19.95" customHeight="1" x14ac:dyDescent="0.3">
      <c r="C320" s="3"/>
    </row>
    <row r="321" spans="3:3" ht="19.95" customHeight="1" x14ac:dyDescent="0.3">
      <c r="C321" s="3"/>
    </row>
    <row r="322" spans="3:3" ht="19.95" customHeight="1" x14ac:dyDescent="0.3">
      <c r="C322" s="3"/>
    </row>
    <row r="323" spans="3:3" ht="19.95" customHeight="1" x14ac:dyDescent="0.3">
      <c r="C323" s="3"/>
    </row>
    <row r="324" spans="3:3" ht="19.95" customHeight="1" x14ac:dyDescent="0.3">
      <c r="C324" s="3"/>
    </row>
    <row r="325" spans="3:3" ht="19.95" customHeight="1" x14ac:dyDescent="0.3">
      <c r="C325" s="3"/>
    </row>
    <row r="326" spans="3:3" ht="19.95" customHeight="1" x14ac:dyDescent="0.3">
      <c r="C326" s="3"/>
    </row>
    <row r="327" spans="3:3" ht="19.95" customHeight="1" x14ac:dyDescent="0.3">
      <c r="C327" s="3"/>
    </row>
    <row r="328" spans="3:3" ht="19.95" customHeight="1" x14ac:dyDescent="0.3">
      <c r="C328" s="3"/>
    </row>
    <row r="329" spans="3:3" ht="19.95" customHeight="1" x14ac:dyDescent="0.3">
      <c r="C329" s="3"/>
    </row>
    <row r="330" spans="3:3" ht="19.95" customHeight="1" x14ac:dyDescent="0.3">
      <c r="C330" s="3"/>
    </row>
    <row r="331" spans="3:3" ht="19.95" customHeight="1" x14ac:dyDescent="0.3">
      <c r="C331" s="3"/>
    </row>
    <row r="332" spans="3:3" ht="19.95" customHeight="1" x14ac:dyDescent="0.3">
      <c r="C332" s="3"/>
    </row>
    <row r="333" spans="3:3" ht="19.95" customHeight="1" x14ac:dyDescent="0.3">
      <c r="C333" s="3"/>
    </row>
    <row r="334" spans="3:3" ht="19.95" customHeight="1" x14ac:dyDescent="0.3">
      <c r="C334" s="3"/>
    </row>
    <row r="335" spans="3:3" ht="19.95" customHeight="1" x14ac:dyDescent="0.3">
      <c r="C335" s="3"/>
    </row>
    <row r="336" spans="3:3" ht="19.95" customHeight="1" x14ac:dyDescent="0.3">
      <c r="C336" s="3"/>
    </row>
    <row r="337" spans="3:3" ht="19.95" customHeight="1" x14ac:dyDescent="0.3">
      <c r="C337" s="3"/>
    </row>
    <row r="338" spans="3:3" ht="19.95" customHeight="1" x14ac:dyDescent="0.3">
      <c r="C338" s="3"/>
    </row>
    <row r="339" spans="3:3" ht="19.95" customHeight="1" x14ac:dyDescent="0.3">
      <c r="C339" s="3"/>
    </row>
    <row r="340" spans="3:3" ht="19.95" customHeight="1" x14ac:dyDescent="0.3">
      <c r="C340" s="3"/>
    </row>
    <row r="341" spans="3:3" ht="19.95" customHeight="1" x14ac:dyDescent="0.3">
      <c r="C341" s="3"/>
    </row>
    <row r="342" spans="3:3" ht="19.95" customHeight="1" x14ac:dyDescent="0.3">
      <c r="C342" s="3"/>
    </row>
    <row r="343" spans="3:3" ht="19.95" customHeight="1" x14ac:dyDescent="0.3">
      <c r="C343" s="3"/>
    </row>
    <row r="344" spans="3:3" ht="19.95" customHeight="1" x14ac:dyDescent="0.3">
      <c r="C344" s="3"/>
    </row>
    <row r="345" spans="3:3" ht="19.95" customHeight="1" x14ac:dyDescent="0.3">
      <c r="C345" s="3"/>
    </row>
    <row r="346" spans="3:3" ht="19.95" customHeight="1" x14ac:dyDescent="0.3">
      <c r="C346" s="3"/>
    </row>
    <row r="347" spans="3:3" ht="19.95" customHeight="1" x14ac:dyDescent="0.3">
      <c r="C347" s="3"/>
    </row>
    <row r="348" spans="3:3" ht="19.95" customHeight="1" x14ac:dyDescent="0.3">
      <c r="C348" s="3"/>
    </row>
    <row r="349" spans="3:3" ht="19.95" customHeight="1" x14ac:dyDescent="0.3">
      <c r="C349" s="3"/>
    </row>
    <row r="350" spans="3:3" ht="19.95" customHeight="1" x14ac:dyDescent="0.3">
      <c r="C350" s="3"/>
    </row>
    <row r="351" spans="3:3" ht="19.95" customHeight="1" x14ac:dyDescent="0.3">
      <c r="C351" s="3"/>
    </row>
    <row r="352" spans="3:3" ht="19.95" customHeight="1" x14ac:dyDescent="0.3">
      <c r="C352" s="3"/>
    </row>
    <row r="353" spans="3:3" ht="19.95" customHeight="1" x14ac:dyDescent="0.3">
      <c r="C353" s="3"/>
    </row>
    <row r="354" spans="3:3" ht="19.95" customHeight="1" x14ac:dyDescent="0.3">
      <c r="C354" s="3"/>
    </row>
    <row r="355" spans="3:3" ht="19.95" customHeight="1" x14ac:dyDescent="0.3">
      <c r="C355" s="3"/>
    </row>
    <row r="356" spans="3:3" ht="19.95" customHeight="1" x14ac:dyDescent="0.3">
      <c r="C356" s="3"/>
    </row>
    <row r="357" spans="3:3" ht="19.95" customHeight="1" x14ac:dyDescent="0.3">
      <c r="C357" s="3"/>
    </row>
    <row r="358" spans="3:3" ht="19.95" customHeight="1" x14ac:dyDescent="0.3">
      <c r="C358" s="3"/>
    </row>
    <row r="359" spans="3:3" ht="19.95" customHeight="1" x14ac:dyDescent="0.3">
      <c r="C359" s="3"/>
    </row>
    <row r="360" spans="3:3" ht="19.95" customHeight="1" x14ac:dyDescent="0.3">
      <c r="C360" s="3"/>
    </row>
    <row r="361" spans="3:3" ht="19.95" customHeight="1" x14ac:dyDescent="0.3">
      <c r="C361" s="3"/>
    </row>
    <row r="362" spans="3:3" ht="19.95" customHeight="1" x14ac:dyDescent="0.3">
      <c r="C362" s="3"/>
    </row>
    <row r="363" spans="3:3" ht="19.95" customHeight="1" x14ac:dyDescent="0.3">
      <c r="C363" s="3"/>
    </row>
    <row r="364" spans="3:3" ht="19.95" customHeight="1" x14ac:dyDescent="0.3">
      <c r="C364" s="3"/>
    </row>
    <row r="365" spans="3:3" ht="19.95" customHeight="1" x14ac:dyDescent="0.3">
      <c r="C365" s="3"/>
    </row>
    <row r="366" spans="3:3" ht="19.95" customHeight="1" x14ac:dyDescent="0.3">
      <c r="C366" s="3"/>
    </row>
    <row r="367" spans="3:3" ht="19.95" customHeight="1" x14ac:dyDescent="0.3">
      <c r="C367" s="3"/>
    </row>
    <row r="368" spans="3:3" ht="19.95" customHeight="1" x14ac:dyDescent="0.3">
      <c r="C368" s="3"/>
    </row>
    <row r="369" spans="3:3" ht="19.95" customHeight="1" x14ac:dyDescent="0.3">
      <c r="C369" s="3"/>
    </row>
    <row r="370" spans="3:3" ht="19.95" customHeight="1" x14ac:dyDescent="0.3">
      <c r="C370" s="3"/>
    </row>
    <row r="371" spans="3:3" ht="19.95" customHeight="1" x14ac:dyDescent="0.3">
      <c r="C371" s="3"/>
    </row>
    <row r="372" spans="3:3" ht="19.95" customHeight="1" x14ac:dyDescent="0.3">
      <c r="C372" s="3"/>
    </row>
    <row r="373" spans="3:3" ht="19.95" customHeight="1" x14ac:dyDescent="0.3">
      <c r="C373" s="3"/>
    </row>
    <row r="374" spans="3:3" ht="19.95" customHeight="1" x14ac:dyDescent="0.3">
      <c r="C374" s="3"/>
    </row>
    <row r="375" spans="3:3" ht="19.95" customHeight="1" x14ac:dyDescent="0.3">
      <c r="C375" s="3"/>
    </row>
    <row r="376" spans="3:3" ht="19.95" customHeight="1" x14ac:dyDescent="0.3">
      <c r="C376" s="3"/>
    </row>
    <row r="377" spans="3:3" ht="19.95" customHeight="1" x14ac:dyDescent="0.3">
      <c r="C377" s="3"/>
    </row>
    <row r="378" spans="3:3" ht="19.95" customHeight="1" x14ac:dyDescent="0.3">
      <c r="C378" s="3"/>
    </row>
    <row r="379" spans="3:3" ht="19.95" customHeight="1" x14ac:dyDescent="0.3">
      <c r="C379" s="3"/>
    </row>
    <row r="380" spans="3:3" ht="19.95" customHeight="1" x14ac:dyDescent="0.3">
      <c r="C380" s="3"/>
    </row>
    <row r="381" spans="3:3" ht="19.95" customHeight="1" x14ac:dyDescent="0.3">
      <c r="C381" s="3"/>
    </row>
    <row r="382" spans="3:3" ht="19.95" customHeight="1" x14ac:dyDescent="0.3">
      <c r="C382" s="3"/>
    </row>
    <row r="383" spans="3:3" ht="19.95" customHeight="1" x14ac:dyDescent="0.3">
      <c r="C383" s="3"/>
    </row>
    <row r="384" spans="3:3" ht="19.95" customHeight="1" x14ac:dyDescent="0.3">
      <c r="C384" s="3"/>
    </row>
    <row r="385" spans="3:3" ht="19.95" customHeight="1" x14ac:dyDescent="0.3">
      <c r="C385" s="3"/>
    </row>
    <row r="386" spans="3:3" ht="19.95" customHeight="1" x14ac:dyDescent="0.3">
      <c r="C386" s="3"/>
    </row>
    <row r="387" spans="3:3" ht="19.95" customHeight="1" x14ac:dyDescent="0.3">
      <c r="C387" s="3"/>
    </row>
    <row r="388" spans="3:3" ht="19.95" customHeight="1" x14ac:dyDescent="0.3">
      <c r="C388" s="3"/>
    </row>
    <row r="389" spans="3:3" ht="19.95" customHeight="1" x14ac:dyDescent="0.3">
      <c r="C389" s="3"/>
    </row>
    <row r="390" spans="3:3" ht="19.95" customHeight="1" x14ac:dyDescent="0.3">
      <c r="C390" s="3"/>
    </row>
    <row r="391" spans="3:3" ht="19.95" customHeight="1" x14ac:dyDescent="0.3">
      <c r="C391" s="3"/>
    </row>
    <row r="392" spans="3:3" ht="19.95" customHeight="1" x14ac:dyDescent="0.3">
      <c r="C392" s="3"/>
    </row>
    <row r="393" spans="3:3" ht="19.95" customHeight="1" x14ac:dyDescent="0.3">
      <c r="C393" s="3"/>
    </row>
    <row r="394" spans="3:3" ht="19.95" customHeight="1" x14ac:dyDescent="0.3">
      <c r="C394" s="3"/>
    </row>
    <row r="395" spans="3:3" ht="19.95" customHeight="1" x14ac:dyDescent="0.3">
      <c r="C395" s="3"/>
    </row>
    <row r="396" spans="3:3" ht="19.95" customHeight="1" x14ac:dyDescent="0.3">
      <c r="C396" s="3"/>
    </row>
    <row r="397" spans="3:3" ht="19.95" customHeight="1" x14ac:dyDescent="0.3">
      <c r="C397" s="3"/>
    </row>
    <row r="398" spans="3:3" ht="19.95" customHeight="1" x14ac:dyDescent="0.3">
      <c r="C398" s="3"/>
    </row>
    <row r="399" spans="3:3" ht="19.95" customHeight="1" x14ac:dyDescent="0.3">
      <c r="C399" s="3"/>
    </row>
    <row r="400" spans="3:3" ht="19.95" customHeight="1" x14ac:dyDescent="0.3">
      <c r="C400" s="3"/>
    </row>
    <row r="401" spans="3:3" ht="19.95" customHeight="1" x14ac:dyDescent="0.3">
      <c r="C401" s="3"/>
    </row>
    <row r="402" spans="3:3" ht="19.95" customHeight="1" x14ac:dyDescent="0.3">
      <c r="C402" s="3"/>
    </row>
    <row r="403" spans="3:3" ht="19.95" customHeight="1" x14ac:dyDescent="0.3">
      <c r="C403" s="3"/>
    </row>
    <row r="404" spans="3:3" ht="19.95" customHeight="1" x14ac:dyDescent="0.3">
      <c r="C404" s="3"/>
    </row>
    <row r="405" spans="3:3" ht="19.95" customHeight="1" x14ac:dyDescent="0.3">
      <c r="C405" s="3"/>
    </row>
    <row r="406" spans="3:3" ht="19.95" customHeight="1" x14ac:dyDescent="0.3">
      <c r="C406" s="3"/>
    </row>
    <row r="407" spans="3:3" ht="19.95" customHeight="1" x14ac:dyDescent="0.3">
      <c r="C407" s="3"/>
    </row>
    <row r="408" spans="3:3" ht="19.95" customHeight="1" x14ac:dyDescent="0.3">
      <c r="C408" s="3"/>
    </row>
    <row r="409" spans="3:3" ht="19.95" customHeight="1" x14ac:dyDescent="0.3">
      <c r="C409" s="3"/>
    </row>
    <row r="410" spans="3:3" ht="19.95" customHeight="1" x14ac:dyDescent="0.3">
      <c r="C410" s="3"/>
    </row>
    <row r="411" spans="3:3" ht="19.95" customHeight="1" x14ac:dyDescent="0.3">
      <c r="C411" s="3"/>
    </row>
    <row r="412" spans="3:3" ht="19.95" customHeight="1" x14ac:dyDescent="0.3">
      <c r="C412" s="3"/>
    </row>
    <row r="413" spans="3:3" ht="19.95" customHeight="1" x14ac:dyDescent="0.3">
      <c r="C413" s="3"/>
    </row>
    <row r="414" spans="3:3" ht="19.95" customHeight="1" x14ac:dyDescent="0.3">
      <c r="C414" s="3"/>
    </row>
    <row r="415" spans="3:3" ht="19.95" customHeight="1" x14ac:dyDescent="0.3">
      <c r="C415" s="3"/>
    </row>
    <row r="416" spans="3:3" ht="19.95" customHeight="1" x14ac:dyDescent="0.3">
      <c r="C416" s="3"/>
    </row>
    <row r="417" spans="3:3" ht="19.95" customHeight="1" x14ac:dyDescent="0.3">
      <c r="C417" s="3"/>
    </row>
    <row r="418" spans="3:3" ht="19.95" customHeight="1" x14ac:dyDescent="0.3">
      <c r="C418" s="3"/>
    </row>
    <row r="419" spans="3:3" ht="19.95" customHeight="1" x14ac:dyDescent="0.3">
      <c r="C419" s="3"/>
    </row>
    <row r="420" spans="3:3" ht="19.95" customHeight="1" x14ac:dyDescent="0.3">
      <c r="C420" s="3"/>
    </row>
    <row r="421" spans="3:3" ht="19.95" customHeight="1" x14ac:dyDescent="0.3">
      <c r="C421" s="3"/>
    </row>
    <row r="422" spans="3:3" ht="19.95" customHeight="1" x14ac:dyDescent="0.3">
      <c r="C422" s="3"/>
    </row>
    <row r="423" spans="3:3" ht="19.95" customHeight="1" x14ac:dyDescent="0.3">
      <c r="C423" s="3"/>
    </row>
    <row r="424" spans="3:3" ht="19.95" customHeight="1" x14ac:dyDescent="0.3">
      <c r="C424" s="3"/>
    </row>
    <row r="425" spans="3:3" ht="19.95" customHeight="1" x14ac:dyDescent="0.3">
      <c r="C425" s="3"/>
    </row>
    <row r="426" spans="3:3" ht="19.95" customHeight="1" x14ac:dyDescent="0.3">
      <c r="C426" s="3"/>
    </row>
    <row r="427" spans="3:3" ht="19.95" customHeight="1" x14ac:dyDescent="0.3">
      <c r="C427" s="3"/>
    </row>
    <row r="428" spans="3:3" ht="19.95" customHeight="1" x14ac:dyDescent="0.3">
      <c r="C428" s="3"/>
    </row>
    <row r="429" spans="3:3" ht="19.95" customHeight="1" x14ac:dyDescent="0.3">
      <c r="C429" s="3"/>
    </row>
    <row r="430" spans="3:3" ht="19.95" customHeight="1" x14ac:dyDescent="0.3">
      <c r="C430" s="3"/>
    </row>
    <row r="431" spans="3:3" ht="19.95" customHeight="1" x14ac:dyDescent="0.3">
      <c r="C431" s="3"/>
    </row>
    <row r="432" spans="3:3" ht="19.95" customHeight="1" x14ac:dyDescent="0.3">
      <c r="C432" s="3"/>
    </row>
    <row r="433" spans="3:3" ht="19.95" customHeight="1" x14ac:dyDescent="0.3">
      <c r="C433" s="3"/>
    </row>
    <row r="434" spans="3:3" ht="19.95" customHeight="1" x14ac:dyDescent="0.3">
      <c r="C434" s="3"/>
    </row>
    <row r="435" spans="3:3" ht="19.95" customHeight="1" x14ac:dyDescent="0.3">
      <c r="C435" s="3"/>
    </row>
    <row r="436" spans="3:3" ht="19.95" customHeight="1" x14ac:dyDescent="0.3">
      <c r="C436" s="3"/>
    </row>
    <row r="437" spans="3:3" ht="19.95" customHeight="1" x14ac:dyDescent="0.3">
      <c r="C437" s="3"/>
    </row>
    <row r="438" spans="3:3" ht="19.95" customHeight="1" x14ac:dyDescent="0.3">
      <c r="C438" s="3"/>
    </row>
    <row r="439" spans="3:3" ht="19.95" customHeight="1" x14ac:dyDescent="0.3">
      <c r="C439" s="3"/>
    </row>
    <row r="440" spans="3:3" ht="19.95" customHeight="1" x14ac:dyDescent="0.3">
      <c r="C440" s="3"/>
    </row>
    <row r="441" spans="3:3" ht="19.95" customHeight="1" x14ac:dyDescent="0.3">
      <c r="C441" s="3"/>
    </row>
    <row r="442" spans="3:3" ht="19.95" customHeight="1" x14ac:dyDescent="0.3">
      <c r="C442" s="3"/>
    </row>
    <row r="443" spans="3:3" ht="19.95" customHeight="1" x14ac:dyDescent="0.3">
      <c r="C443" s="3"/>
    </row>
    <row r="444" spans="3:3" ht="19.95" customHeight="1" x14ac:dyDescent="0.3">
      <c r="C444" s="3"/>
    </row>
    <row r="445" spans="3:3" ht="19.95" customHeight="1" x14ac:dyDescent="0.3">
      <c r="C445" s="3"/>
    </row>
    <row r="446" spans="3:3" ht="19.95" customHeight="1" x14ac:dyDescent="0.3">
      <c r="C446" s="3"/>
    </row>
    <row r="447" spans="3:3" ht="19.95" customHeight="1" x14ac:dyDescent="0.3">
      <c r="C447" s="3"/>
    </row>
    <row r="448" spans="3:3" ht="19.95" customHeight="1" x14ac:dyDescent="0.3">
      <c r="C448" s="3"/>
    </row>
    <row r="449" spans="3:3" ht="19.95" customHeight="1" x14ac:dyDescent="0.3">
      <c r="C449" s="3"/>
    </row>
    <row r="450" spans="3:3" ht="19.95" customHeight="1" x14ac:dyDescent="0.3">
      <c r="C450" s="3"/>
    </row>
    <row r="451" spans="3:3" ht="19.95" customHeight="1" x14ac:dyDescent="0.3">
      <c r="C451" s="3"/>
    </row>
    <row r="452" spans="3:3" ht="19.95" customHeight="1" x14ac:dyDescent="0.3">
      <c r="C452" s="3"/>
    </row>
    <row r="453" spans="3:3" ht="19.95" customHeight="1" x14ac:dyDescent="0.3">
      <c r="C453" s="3"/>
    </row>
    <row r="454" spans="3:3" ht="19.95" customHeight="1" x14ac:dyDescent="0.3">
      <c r="C454" s="3"/>
    </row>
    <row r="455" spans="3:3" ht="19.95" customHeight="1" x14ac:dyDescent="0.3">
      <c r="C455" s="3"/>
    </row>
    <row r="456" spans="3:3" ht="19.95" customHeight="1" x14ac:dyDescent="0.3">
      <c r="C456" s="3"/>
    </row>
    <row r="457" spans="3:3" ht="19.95" customHeight="1" x14ac:dyDescent="0.3">
      <c r="C457" s="3"/>
    </row>
    <row r="458" spans="3:3" ht="19.95" customHeight="1" x14ac:dyDescent="0.3">
      <c r="C458" s="3"/>
    </row>
    <row r="459" spans="3:3" ht="19.95" customHeight="1" x14ac:dyDescent="0.3">
      <c r="C459" s="3"/>
    </row>
    <row r="460" spans="3:3" ht="19.95" customHeight="1" x14ac:dyDescent="0.3">
      <c r="C460" s="3"/>
    </row>
    <row r="461" spans="3:3" ht="19.95" customHeight="1" x14ac:dyDescent="0.3">
      <c r="C461" s="3"/>
    </row>
    <row r="462" spans="3:3" ht="19.95" customHeight="1" x14ac:dyDescent="0.3">
      <c r="C462" s="3"/>
    </row>
    <row r="463" spans="3:3" ht="19.95" customHeight="1" x14ac:dyDescent="0.3">
      <c r="C463" s="3"/>
    </row>
    <row r="464" spans="3:3" ht="19.95" customHeight="1" x14ac:dyDescent="0.3">
      <c r="C464" s="3"/>
    </row>
    <row r="465" spans="3:3" ht="19.95" customHeight="1" x14ac:dyDescent="0.3">
      <c r="C465" s="3"/>
    </row>
    <row r="466" spans="3:3" ht="19.95" customHeight="1" x14ac:dyDescent="0.3">
      <c r="C466" s="3"/>
    </row>
    <row r="467" spans="3:3" ht="19.95" customHeight="1" x14ac:dyDescent="0.3">
      <c r="C467" s="3"/>
    </row>
    <row r="468" spans="3:3" ht="19.95" customHeight="1" x14ac:dyDescent="0.3">
      <c r="C468" s="3"/>
    </row>
    <row r="469" spans="3:3" ht="19.95" customHeight="1" x14ac:dyDescent="0.3">
      <c r="C469" s="3"/>
    </row>
    <row r="470" spans="3:3" ht="19.95" customHeight="1" x14ac:dyDescent="0.3">
      <c r="C470" s="3"/>
    </row>
    <row r="471" spans="3:3" ht="19.95" customHeight="1" x14ac:dyDescent="0.3">
      <c r="C471" s="3"/>
    </row>
    <row r="472" spans="3:3" ht="19.95" customHeight="1" x14ac:dyDescent="0.3">
      <c r="C472" s="3"/>
    </row>
    <row r="473" spans="3:3" ht="19.95" customHeight="1" x14ac:dyDescent="0.3">
      <c r="C473" s="3"/>
    </row>
    <row r="474" spans="3:3" ht="19.95" customHeight="1" x14ac:dyDescent="0.3">
      <c r="C474" s="3"/>
    </row>
    <row r="475" spans="3:3" ht="19.95" customHeight="1" x14ac:dyDescent="0.3">
      <c r="C475" s="3"/>
    </row>
    <row r="476" spans="3:3" ht="19.95" customHeight="1" x14ac:dyDescent="0.3">
      <c r="C476" s="3"/>
    </row>
    <row r="477" spans="3:3" ht="19.95" customHeight="1" x14ac:dyDescent="0.3">
      <c r="C477" s="3"/>
    </row>
    <row r="478" spans="3:3" ht="19.95" customHeight="1" x14ac:dyDescent="0.3">
      <c r="C478" s="3"/>
    </row>
    <row r="479" spans="3:3" ht="19.95" customHeight="1" x14ac:dyDescent="0.3">
      <c r="C479" s="3"/>
    </row>
    <row r="480" spans="3:3" ht="19.95" customHeight="1" x14ac:dyDescent="0.3">
      <c r="C480" s="3"/>
    </row>
    <row r="481" spans="3:3" ht="19.95" customHeight="1" x14ac:dyDescent="0.3">
      <c r="C481" s="3"/>
    </row>
    <row r="482" spans="3:3" ht="19.95" customHeight="1" x14ac:dyDescent="0.3">
      <c r="C482" s="3"/>
    </row>
    <row r="483" spans="3:3" ht="19.95" customHeight="1" x14ac:dyDescent="0.3">
      <c r="C483" s="3"/>
    </row>
    <row r="484" spans="3:3" ht="19.95" customHeight="1" x14ac:dyDescent="0.3">
      <c r="C484" s="3"/>
    </row>
    <row r="485" spans="3:3" ht="19.95" customHeight="1" x14ac:dyDescent="0.3">
      <c r="C485" s="3"/>
    </row>
    <row r="486" spans="3:3" ht="19.95" customHeight="1" x14ac:dyDescent="0.3">
      <c r="C486" s="3"/>
    </row>
    <row r="487" spans="3:3" ht="19.95" customHeight="1" x14ac:dyDescent="0.3">
      <c r="C487" s="3"/>
    </row>
    <row r="488" spans="3:3" ht="19.95" customHeight="1" x14ac:dyDescent="0.3">
      <c r="C488" s="3"/>
    </row>
    <row r="489" spans="3:3" ht="19.95" customHeight="1" x14ac:dyDescent="0.3">
      <c r="C489" s="3"/>
    </row>
    <row r="490" spans="3:3" ht="19.95" customHeight="1" x14ac:dyDescent="0.3">
      <c r="C490" s="3"/>
    </row>
    <row r="491" spans="3:3" ht="19.95" customHeight="1" x14ac:dyDescent="0.3">
      <c r="C491" s="3"/>
    </row>
    <row r="492" spans="3:3" ht="19.95" customHeight="1" x14ac:dyDescent="0.3">
      <c r="C492" s="3"/>
    </row>
    <row r="493" spans="3:3" ht="19.95" customHeight="1" x14ac:dyDescent="0.3">
      <c r="C493" s="3"/>
    </row>
    <row r="494" spans="3:3" ht="19.95" customHeight="1" x14ac:dyDescent="0.3">
      <c r="C494" s="3"/>
    </row>
    <row r="495" spans="3:3" ht="19.95" customHeight="1" x14ac:dyDescent="0.3">
      <c r="C495" s="3"/>
    </row>
    <row r="496" spans="3:3" ht="19.95" customHeight="1" x14ac:dyDescent="0.3">
      <c r="C496" s="3"/>
    </row>
    <row r="497" spans="3:3" ht="19.95" customHeight="1" x14ac:dyDescent="0.3">
      <c r="C497" s="3"/>
    </row>
    <row r="498" spans="3:3" ht="19.95" customHeight="1" x14ac:dyDescent="0.3">
      <c r="C498" s="3"/>
    </row>
  </sheetData>
  <mergeCells count="18">
    <mergeCell ref="C18:D20"/>
    <mergeCell ref="B13:D15"/>
    <mergeCell ref="C8:D10"/>
    <mergeCell ref="C2:D4"/>
    <mergeCell ref="H3:H9"/>
    <mergeCell ref="H11:H17"/>
    <mergeCell ref="H19:H25"/>
    <mergeCell ref="H27:H33"/>
    <mergeCell ref="H35:H41"/>
    <mergeCell ref="H43:H49"/>
    <mergeCell ref="H51:H57"/>
    <mergeCell ref="H59:H65"/>
    <mergeCell ref="H107:H113"/>
    <mergeCell ref="H67:H73"/>
    <mergeCell ref="H75:H81"/>
    <mergeCell ref="H83:H89"/>
    <mergeCell ref="H91:H97"/>
    <mergeCell ref="H99:H105"/>
  </mergeCells>
  <conditionalFormatting sqref="K1:K1048576">
    <cfRule type="expression" dxfId="5" priority="34">
      <formula>#REF!="no"</formula>
    </cfRule>
  </conditionalFormatting>
  <conditionalFormatting sqref="J1:J1048576">
    <cfRule type="expression" dxfId="4" priority="35">
      <formula>#REF!="no"</formula>
    </cfRule>
  </conditionalFormatting>
  <hyperlinks>
    <hyperlink ref="C2:D4" location="instruction!A1" display="INSTRUCTION" xr:uid="{2AA9FFBA-A031-44CF-99B5-72CD7147A091}"/>
    <hyperlink ref="C8:D10" location="calculator!A1" display="CALCULATOR" xr:uid="{E8A60AB6-DE6A-434B-8414-D4DA14FEF3D6}"/>
    <hyperlink ref="C18:D20" location="'food database'!A1" display="FOOD DATABASE" xr:uid="{CF668D16-D624-44C0-B64A-E316F3EB37D7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EE37B-1E2B-48C1-BDAD-02F775073928}">
  <sheetPr codeName="Sheet6"/>
  <dimension ref="B1:R498"/>
  <sheetViews>
    <sheetView zoomScaleNormal="100" workbookViewId="0">
      <selection activeCell="C8" sqref="C8:D10"/>
    </sheetView>
  </sheetViews>
  <sheetFormatPr defaultRowHeight="19.95" customHeight="1" x14ac:dyDescent="0.3"/>
  <cols>
    <col min="1" max="1" width="1.77734375" style="12" customWidth="1"/>
    <col min="2" max="2" width="2.77734375" style="10" customWidth="1"/>
    <col min="3" max="4" width="14.77734375" style="23" customWidth="1"/>
    <col min="5" max="6" width="1.77734375" style="12" customWidth="1"/>
    <col min="7" max="7" width="24.77734375" style="12" bestFit="1" customWidth="1"/>
    <col min="8" max="8" width="25.77734375" style="12" customWidth="1"/>
    <col min="9" max="9" width="21.21875" style="12" customWidth="1"/>
    <col min="10" max="12" width="1.77734375" style="12" customWidth="1"/>
    <col min="13" max="13" width="21.88671875" style="12" bestFit="1" customWidth="1"/>
    <col min="14" max="14" width="12.77734375" style="12" customWidth="1"/>
    <col min="15" max="15" width="7.5546875" style="12" bestFit="1" customWidth="1"/>
    <col min="16" max="16" width="22.21875" style="12" bestFit="1" customWidth="1"/>
    <col min="17" max="17" width="12.77734375" style="12" customWidth="1"/>
    <col min="18" max="19" width="1.77734375" style="12" customWidth="1"/>
    <col min="20" max="16384" width="8.88671875" style="12"/>
  </cols>
  <sheetData>
    <row r="1" spans="2:18" ht="19.95" customHeight="1" thickBot="1" x14ac:dyDescent="0.35">
      <c r="C1" s="11"/>
      <c r="D1" s="11"/>
    </row>
    <row r="2" spans="2:18" ht="19.95" customHeight="1" thickBot="1" x14ac:dyDescent="0.35">
      <c r="C2" s="11"/>
      <c r="D2" s="11"/>
      <c r="F2" s="13"/>
      <c r="G2" s="14"/>
      <c r="H2" s="14"/>
      <c r="I2" s="14"/>
      <c r="J2" s="15"/>
      <c r="L2" s="13"/>
      <c r="M2" s="14"/>
      <c r="N2" s="14"/>
      <c r="O2" s="14"/>
      <c r="P2" s="14"/>
      <c r="Q2" s="14"/>
      <c r="R2" s="15"/>
    </row>
    <row r="3" spans="2:18" ht="19.95" customHeight="1" thickBot="1" x14ac:dyDescent="0.35">
      <c r="B3" s="72" t="s">
        <v>101</v>
      </c>
      <c r="C3" s="72"/>
      <c r="D3" s="72"/>
      <c r="F3" s="16"/>
      <c r="G3" s="6" t="s">
        <v>148</v>
      </c>
      <c r="H3" s="33">
        <v>26</v>
      </c>
      <c r="I3" s="6"/>
      <c r="J3" s="17"/>
      <c r="L3" s="16"/>
      <c r="M3" s="6" t="s">
        <v>129</v>
      </c>
      <c r="N3" s="35">
        <v>28.3</v>
      </c>
      <c r="O3" s="6"/>
      <c r="P3" s="90" t="s">
        <v>133</v>
      </c>
      <c r="Q3" s="91"/>
      <c r="R3" s="17"/>
    </row>
    <row r="4" spans="2:18" ht="19.95" customHeight="1" thickBot="1" x14ac:dyDescent="0.35">
      <c r="B4" s="72"/>
      <c r="C4" s="72"/>
      <c r="D4" s="72"/>
      <c r="F4" s="16"/>
      <c r="G4" s="6"/>
      <c r="H4" s="6"/>
      <c r="I4" s="6"/>
      <c r="J4" s="17"/>
      <c r="L4" s="16"/>
      <c r="M4" s="6"/>
      <c r="N4" s="28"/>
      <c r="O4" s="6"/>
      <c r="P4" s="92"/>
      <c r="Q4" s="93"/>
      <c r="R4" s="17"/>
    </row>
    <row r="5" spans="2:18" ht="19.95" customHeight="1" thickBot="1" x14ac:dyDescent="0.35">
      <c r="B5" s="72"/>
      <c r="C5" s="72"/>
      <c r="D5" s="72"/>
      <c r="F5" s="16"/>
      <c r="G5" s="6" t="s">
        <v>105</v>
      </c>
      <c r="H5" s="6"/>
      <c r="I5" s="18"/>
      <c r="J5" s="17"/>
      <c r="L5" s="16"/>
      <c r="M5" s="6" t="s">
        <v>114</v>
      </c>
      <c r="N5" s="41">
        <v>3332</v>
      </c>
      <c r="O5" s="6"/>
      <c r="P5" s="94"/>
      <c r="Q5" s="95"/>
      <c r="R5" s="17"/>
    </row>
    <row r="6" spans="2:18" ht="19.95" customHeight="1" thickBot="1" x14ac:dyDescent="0.35">
      <c r="C6" s="19"/>
      <c r="D6" s="19"/>
      <c r="F6" s="16"/>
      <c r="G6" s="6"/>
      <c r="H6" s="6"/>
      <c r="I6" s="6"/>
      <c r="J6" s="17"/>
      <c r="L6" s="16"/>
      <c r="M6" s="6"/>
      <c r="N6" s="29"/>
      <c r="O6" s="6"/>
      <c r="P6" s="6"/>
      <c r="Q6" s="6"/>
      <c r="R6" s="17"/>
    </row>
    <row r="7" spans="2:18" ht="19.95" customHeight="1" thickBot="1" x14ac:dyDescent="0.35">
      <c r="C7" s="19"/>
      <c r="D7" s="19"/>
      <c r="F7" s="16"/>
      <c r="G7" s="6" t="s">
        <v>139</v>
      </c>
      <c r="H7" s="33">
        <v>190</v>
      </c>
      <c r="I7" s="6"/>
      <c r="J7" s="17"/>
      <c r="L7" s="16"/>
      <c r="M7" s="7" t="s">
        <v>115</v>
      </c>
      <c r="N7" s="36">
        <v>3043.1</v>
      </c>
      <c r="O7" s="6"/>
      <c r="P7" s="8" t="s">
        <v>117</v>
      </c>
      <c r="Q7" s="37">
        <v>3620.9</v>
      </c>
      <c r="R7" s="17"/>
    </row>
    <row r="8" spans="2:18" ht="19.95" customHeight="1" thickBot="1" x14ac:dyDescent="0.35">
      <c r="C8" s="71" t="s">
        <v>158</v>
      </c>
      <c r="D8" s="71"/>
      <c r="F8" s="16"/>
      <c r="G8" s="6"/>
      <c r="H8" s="6"/>
      <c r="I8" s="6"/>
      <c r="J8" s="17"/>
      <c r="L8" s="16"/>
      <c r="M8" s="7" t="s">
        <v>116</v>
      </c>
      <c r="N8" s="36">
        <v>2765.3</v>
      </c>
      <c r="O8" s="6"/>
      <c r="P8" s="8" t="s">
        <v>118</v>
      </c>
      <c r="Q8" s="37">
        <v>3898.7</v>
      </c>
      <c r="R8" s="17"/>
    </row>
    <row r="9" spans="2:18" ht="19.95" customHeight="1" thickBot="1" x14ac:dyDescent="0.35">
      <c r="C9" s="71"/>
      <c r="D9" s="71"/>
      <c r="F9" s="16"/>
      <c r="G9" s="6" t="s">
        <v>138</v>
      </c>
      <c r="H9" s="34">
        <v>102</v>
      </c>
      <c r="I9" s="6"/>
      <c r="J9" s="17"/>
      <c r="L9" s="16"/>
      <c r="M9" s="7" t="s">
        <v>125</v>
      </c>
      <c r="N9" s="36">
        <v>2198.6999999999998</v>
      </c>
      <c r="O9" s="6"/>
      <c r="P9" s="8" t="s">
        <v>126</v>
      </c>
      <c r="Q9" s="37">
        <v>4465.3</v>
      </c>
      <c r="R9" s="17"/>
    </row>
    <row r="10" spans="2:18" ht="19.95" customHeight="1" thickBot="1" x14ac:dyDescent="0.35">
      <c r="C10" s="71"/>
      <c r="D10" s="71"/>
      <c r="F10" s="16"/>
      <c r="G10" s="6"/>
      <c r="H10" s="6"/>
      <c r="I10" s="6"/>
      <c r="J10" s="17"/>
      <c r="L10" s="20"/>
      <c r="M10" s="27"/>
      <c r="N10" s="27"/>
      <c r="O10" s="21"/>
      <c r="P10" s="21"/>
      <c r="Q10" s="21"/>
      <c r="R10" s="22"/>
    </row>
    <row r="11" spans="2:18" ht="19.95" customHeight="1" thickBot="1" x14ac:dyDescent="0.35">
      <c r="C11" s="19"/>
      <c r="D11" s="19"/>
      <c r="F11" s="16"/>
      <c r="G11" s="6" t="s">
        <v>137</v>
      </c>
      <c r="H11" s="34">
        <v>92</v>
      </c>
      <c r="I11" s="6"/>
      <c r="J11" s="17"/>
    </row>
    <row r="12" spans="2:18" ht="19.95" customHeight="1" thickBot="1" x14ac:dyDescent="0.35">
      <c r="C12" s="19"/>
      <c r="D12" s="19"/>
      <c r="F12" s="16"/>
      <c r="G12" s="6"/>
      <c r="H12" s="6"/>
      <c r="I12" s="6"/>
      <c r="J12" s="17"/>
      <c r="L12" s="13"/>
      <c r="M12" s="14"/>
      <c r="N12" s="14"/>
      <c r="O12" s="14"/>
      <c r="P12" s="14"/>
      <c r="Q12" s="14"/>
      <c r="R12" s="15"/>
    </row>
    <row r="13" spans="2:18" ht="19.95" customHeight="1" thickBot="1" x14ac:dyDescent="0.35">
      <c r="C13" s="71" t="s">
        <v>102</v>
      </c>
      <c r="D13" s="71"/>
      <c r="F13" s="16"/>
      <c r="G13" s="6" t="s">
        <v>149</v>
      </c>
      <c r="H13" s="96" t="s">
        <v>110</v>
      </c>
      <c r="I13" s="97"/>
      <c r="J13" s="17"/>
      <c r="L13" s="16"/>
      <c r="M13" s="6" t="s">
        <v>145</v>
      </c>
      <c r="N13" s="38">
        <v>2750</v>
      </c>
      <c r="O13" s="6"/>
      <c r="P13" s="6"/>
      <c r="Q13" s="6"/>
      <c r="R13" s="17"/>
    </row>
    <row r="14" spans="2:18" ht="19.95" customHeight="1" thickBot="1" x14ac:dyDescent="0.35">
      <c r="C14" s="71"/>
      <c r="D14" s="71"/>
      <c r="F14" s="16"/>
      <c r="G14" s="6"/>
      <c r="H14" s="6"/>
      <c r="I14" s="6"/>
      <c r="J14" s="17"/>
      <c r="L14" s="16"/>
      <c r="M14" s="6"/>
      <c r="N14" s="6"/>
      <c r="O14" s="6"/>
      <c r="P14" s="30"/>
      <c r="Q14" s="31"/>
      <c r="R14" s="17"/>
    </row>
    <row r="15" spans="2:18" ht="19.95" customHeight="1" thickBot="1" x14ac:dyDescent="0.35">
      <c r="C15" s="71"/>
      <c r="D15" s="71"/>
      <c r="F15" s="16"/>
      <c r="G15" s="6"/>
      <c r="H15" s="6"/>
      <c r="I15" s="6"/>
      <c r="J15" s="17"/>
      <c r="L15" s="16"/>
      <c r="M15" s="6" t="s">
        <v>79</v>
      </c>
      <c r="N15" s="39">
        <f>IF($N$13="","",ROUND(Q15*$H$9,0))</f>
        <v>184</v>
      </c>
      <c r="O15" s="32">
        <f>IFERROR(N15*4/$N$13,"")</f>
        <v>0.26763636363636362</v>
      </c>
      <c r="P15" s="30" t="s">
        <v>143</v>
      </c>
      <c r="Q15" s="40">
        <f>settings!F22</f>
        <v>1.8</v>
      </c>
      <c r="R15" s="17"/>
    </row>
    <row r="16" spans="2:18" ht="19.95" customHeight="1" thickBot="1" x14ac:dyDescent="0.35">
      <c r="C16" s="19"/>
      <c r="D16" s="19"/>
      <c r="F16" s="16"/>
      <c r="G16" s="6"/>
      <c r="H16" s="6"/>
      <c r="I16" s="6"/>
      <c r="J16" s="17"/>
      <c r="L16" s="16"/>
      <c r="M16" s="6" t="s">
        <v>140</v>
      </c>
      <c r="N16" s="39">
        <f>IF(N13="","",ROUND((N13-4*N15-9*N17)/4,0))</f>
        <v>297</v>
      </c>
      <c r="O16" s="32">
        <f>IFERROR(N16*4/$N$13,"")</f>
        <v>0.432</v>
      </c>
      <c r="P16" s="6"/>
      <c r="Q16" s="6"/>
      <c r="R16" s="17"/>
    </row>
    <row r="17" spans="3:18" ht="19.95" customHeight="1" thickBot="1" x14ac:dyDescent="0.35">
      <c r="C17" s="19"/>
      <c r="D17" s="19"/>
      <c r="F17" s="16"/>
      <c r="G17" s="6"/>
      <c r="H17" s="6"/>
      <c r="I17" s="6"/>
      <c r="J17" s="17"/>
      <c r="L17" s="16"/>
      <c r="M17" s="6" t="s">
        <v>141</v>
      </c>
      <c r="N17" s="39">
        <f>IF($N$13="","",ROUND(Q17*$H$9,0))</f>
        <v>92</v>
      </c>
      <c r="O17" s="32">
        <f>IFERROR(N17*9/$N$13,"")</f>
        <v>0.30109090909090908</v>
      </c>
      <c r="P17" s="30" t="s">
        <v>147</v>
      </c>
      <c r="Q17" s="6">
        <f>settings!I22</f>
        <v>0.9</v>
      </c>
      <c r="R17" s="17"/>
    </row>
    <row r="18" spans="3:18" ht="19.95" customHeight="1" thickBot="1" x14ac:dyDescent="0.35">
      <c r="C18" s="71" t="s">
        <v>103</v>
      </c>
      <c r="D18" s="71"/>
      <c r="F18" s="20"/>
      <c r="G18" s="21"/>
      <c r="H18" s="21"/>
      <c r="I18" s="21"/>
      <c r="J18" s="22"/>
      <c r="L18" s="20"/>
      <c r="M18" s="21"/>
      <c r="N18" s="21"/>
      <c r="O18" s="21"/>
      <c r="P18" s="21"/>
      <c r="Q18" s="21"/>
      <c r="R18" s="22"/>
    </row>
    <row r="19" spans="3:18" ht="19.95" customHeight="1" x14ac:dyDescent="0.3">
      <c r="C19" s="71"/>
      <c r="D19" s="71"/>
    </row>
    <row r="20" spans="3:18" ht="19.95" customHeight="1" x14ac:dyDescent="0.3">
      <c r="C20" s="71"/>
      <c r="D20" s="71"/>
    </row>
    <row r="21" spans="3:18" ht="19.95" customHeight="1" x14ac:dyDescent="0.3">
      <c r="C21" s="11"/>
      <c r="D21" s="11"/>
    </row>
    <row r="22" spans="3:18" ht="19.95" customHeight="1" x14ac:dyDescent="0.3">
      <c r="C22" s="11"/>
      <c r="D22" s="11"/>
    </row>
    <row r="23" spans="3:18" ht="19.95" customHeight="1" x14ac:dyDescent="0.3">
      <c r="C23" s="11"/>
      <c r="D23" s="11"/>
    </row>
    <row r="24" spans="3:18" ht="19.95" customHeight="1" x14ac:dyDescent="0.3">
      <c r="C24" s="11"/>
      <c r="D24" s="11"/>
    </row>
    <row r="25" spans="3:18" ht="19.95" customHeight="1" x14ac:dyDescent="0.3">
      <c r="C25" s="11"/>
      <c r="D25" s="11"/>
    </row>
    <row r="26" spans="3:18" ht="19.95" customHeight="1" x14ac:dyDescent="0.3">
      <c r="C26" s="11"/>
      <c r="D26" s="11"/>
    </row>
    <row r="27" spans="3:18" ht="19.95" customHeight="1" x14ac:dyDescent="0.3">
      <c r="C27" s="11"/>
      <c r="D27" s="11"/>
    </row>
    <row r="28" spans="3:18" ht="19.95" customHeight="1" x14ac:dyDescent="0.3">
      <c r="C28" s="11"/>
      <c r="D28" s="11"/>
    </row>
    <row r="29" spans="3:18" ht="19.95" customHeight="1" x14ac:dyDescent="0.3">
      <c r="C29" s="11"/>
      <c r="D29" s="11"/>
    </row>
    <row r="30" spans="3:18" ht="19.95" customHeight="1" x14ac:dyDescent="0.3">
      <c r="C30" s="11"/>
      <c r="D30" s="11"/>
    </row>
    <row r="31" spans="3:18" ht="19.95" customHeight="1" x14ac:dyDescent="0.3">
      <c r="C31" s="11"/>
      <c r="D31" s="11"/>
    </row>
    <row r="32" spans="3:18" ht="19.95" customHeight="1" x14ac:dyDescent="0.3">
      <c r="C32" s="11"/>
      <c r="D32" s="11"/>
    </row>
    <row r="33" spans="3:4" ht="19.95" customHeight="1" x14ac:dyDescent="0.3">
      <c r="C33" s="11"/>
      <c r="D33" s="11"/>
    </row>
    <row r="34" spans="3:4" ht="19.95" customHeight="1" x14ac:dyDescent="0.3">
      <c r="C34" s="11"/>
      <c r="D34" s="11"/>
    </row>
    <row r="35" spans="3:4" ht="19.95" customHeight="1" x14ac:dyDescent="0.3">
      <c r="C35" s="11"/>
      <c r="D35" s="11"/>
    </row>
    <row r="36" spans="3:4" ht="19.95" customHeight="1" x14ac:dyDescent="0.3">
      <c r="C36" s="11"/>
      <c r="D36" s="11"/>
    </row>
    <row r="37" spans="3:4" ht="19.95" customHeight="1" x14ac:dyDescent="0.3">
      <c r="C37" s="11"/>
      <c r="D37" s="11"/>
    </row>
    <row r="38" spans="3:4" ht="19.95" customHeight="1" x14ac:dyDescent="0.3">
      <c r="C38" s="11"/>
      <c r="D38" s="11"/>
    </row>
    <row r="39" spans="3:4" ht="19.95" customHeight="1" x14ac:dyDescent="0.3">
      <c r="C39" s="11"/>
      <c r="D39" s="11"/>
    </row>
    <row r="40" spans="3:4" ht="19.95" customHeight="1" x14ac:dyDescent="0.3">
      <c r="C40" s="11"/>
      <c r="D40" s="11"/>
    </row>
    <row r="41" spans="3:4" ht="19.95" customHeight="1" x14ac:dyDescent="0.3">
      <c r="C41" s="11"/>
      <c r="D41" s="11"/>
    </row>
    <row r="42" spans="3:4" ht="19.95" customHeight="1" x14ac:dyDescent="0.3">
      <c r="C42" s="11"/>
      <c r="D42" s="11"/>
    </row>
    <row r="43" spans="3:4" ht="19.95" customHeight="1" x14ac:dyDescent="0.3">
      <c r="C43" s="11"/>
      <c r="D43" s="11"/>
    </row>
    <row r="44" spans="3:4" ht="19.95" customHeight="1" x14ac:dyDescent="0.3">
      <c r="C44" s="11"/>
      <c r="D44" s="11"/>
    </row>
    <row r="45" spans="3:4" ht="19.95" customHeight="1" x14ac:dyDescent="0.3">
      <c r="C45" s="11"/>
      <c r="D45" s="11"/>
    </row>
    <row r="46" spans="3:4" ht="19.95" customHeight="1" x14ac:dyDescent="0.3">
      <c r="C46" s="11"/>
      <c r="D46" s="11"/>
    </row>
    <row r="47" spans="3:4" ht="19.95" customHeight="1" x14ac:dyDescent="0.3">
      <c r="C47" s="11"/>
      <c r="D47" s="11"/>
    </row>
    <row r="48" spans="3:4" ht="19.95" customHeight="1" x14ac:dyDescent="0.3">
      <c r="C48" s="11"/>
      <c r="D48" s="11"/>
    </row>
    <row r="49" spans="3:4" ht="19.95" customHeight="1" x14ac:dyDescent="0.3">
      <c r="C49" s="11"/>
      <c r="D49" s="11"/>
    </row>
    <row r="50" spans="3:4" ht="19.95" customHeight="1" x14ac:dyDescent="0.3">
      <c r="C50" s="11"/>
      <c r="D50" s="11"/>
    </row>
    <row r="51" spans="3:4" ht="19.95" customHeight="1" x14ac:dyDescent="0.3">
      <c r="C51" s="11"/>
      <c r="D51" s="11"/>
    </row>
    <row r="52" spans="3:4" ht="19.95" customHeight="1" x14ac:dyDescent="0.3">
      <c r="C52" s="11"/>
      <c r="D52" s="11"/>
    </row>
    <row r="53" spans="3:4" ht="19.95" customHeight="1" x14ac:dyDescent="0.3">
      <c r="C53" s="11"/>
      <c r="D53" s="11"/>
    </row>
    <row r="54" spans="3:4" ht="19.95" customHeight="1" x14ac:dyDescent="0.3">
      <c r="C54" s="11"/>
      <c r="D54" s="11"/>
    </row>
    <row r="55" spans="3:4" ht="19.95" customHeight="1" x14ac:dyDescent="0.3">
      <c r="C55" s="11"/>
      <c r="D55" s="11"/>
    </row>
    <row r="56" spans="3:4" ht="19.95" customHeight="1" x14ac:dyDescent="0.3">
      <c r="C56" s="11"/>
      <c r="D56" s="11"/>
    </row>
    <row r="57" spans="3:4" ht="19.95" customHeight="1" x14ac:dyDescent="0.3">
      <c r="C57" s="11"/>
      <c r="D57" s="11"/>
    </row>
    <row r="58" spans="3:4" ht="19.95" customHeight="1" x14ac:dyDescent="0.3">
      <c r="C58" s="11"/>
      <c r="D58" s="11"/>
    </row>
    <row r="59" spans="3:4" ht="19.95" customHeight="1" x14ac:dyDescent="0.3">
      <c r="C59" s="11"/>
      <c r="D59" s="11"/>
    </row>
    <row r="60" spans="3:4" ht="19.95" customHeight="1" x14ac:dyDescent="0.3">
      <c r="C60" s="11"/>
      <c r="D60" s="11"/>
    </row>
    <row r="61" spans="3:4" ht="19.95" customHeight="1" x14ac:dyDescent="0.3">
      <c r="C61" s="11"/>
      <c r="D61" s="11"/>
    </row>
    <row r="62" spans="3:4" ht="19.95" customHeight="1" x14ac:dyDescent="0.3">
      <c r="C62" s="11"/>
      <c r="D62" s="11"/>
    </row>
    <row r="63" spans="3:4" ht="19.95" customHeight="1" x14ac:dyDescent="0.3">
      <c r="C63" s="11"/>
      <c r="D63" s="11"/>
    </row>
    <row r="64" spans="3:4" ht="19.95" customHeight="1" x14ac:dyDescent="0.3">
      <c r="C64" s="11"/>
      <c r="D64" s="11"/>
    </row>
    <row r="65" spans="3:4" ht="19.95" customHeight="1" x14ac:dyDescent="0.3">
      <c r="C65" s="11"/>
      <c r="D65" s="11"/>
    </row>
    <row r="66" spans="3:4" ht="19.95" customHeight="1" x14ac:dyDescent="0.3">
      <c r="C66" s="11"/>
      <c r="D66" s="11"/>
    </row>
    <row r="67" spans="3:4" ht="19.95" customHeight="1" x14ac:dyDescent="0.3">
      <c r="C67" s="11"/>
      <c r="D67" s="11"/>
    </row>
    <row r="68" spans="3:4" ht="19.95" customHeight="1" x14ac:dyDescent="0.3">
      <c r="C68" s="11"/>
      <c r="D68" s="11"/>
    </row>
    <row r="69" spans="3:4" ht="19.95" customHeight="1" x14ac:dyDescent="0.3">
      <c r="C69" s="11"/>
      <c r="D69" s="11"/>
    </row>
    <row r="70" spans="3:4" ht="19.95" customHeight="1" x14ac:dyDescent="0.3">
      <c r="C70" s="11"/>
      <c r="D70" s="11"/>
    </row>
    <row r="71" spans="3:4" ht="19.95" customHeight="1" x14ac:dyDescent="0.3">
      <c r="C71" s="11"/>
      <c r="D71" s="11"/>
    </row>
    <row r="72" spans="3:4" ht="19.95" customHeight="1" x14ac:dyDescent="0.3">
      <c r="C72" s="11"/>
      <c r="D72" s="11"/>
    </row>
    <row r="73" spans="3:4" ht="19.95" customHeight="1" x14ac:dyDescent="0.3">
      <c r="C73" s="11"/>
      <c r="D73" s="11"/>
    </row>
    <row r="74" spans="3:4" ht="19.95" customHeight="1" x14ac:dyDescent="0.3">
      <c r="C74" s="11"/>
      <c r="D74" s="11"/>
    </row>
    <row r="75" spans="3:4" ht="19.95" customHeight="1" x14ac:dyDescent="0.3">
      <c r="C75" s="11"/>
      <c r="D75" s="11"/>
    </row>
    <row r="76" spans="3:4" ht="19.95" customHeight="1" x14ac:dyDescent="0.3">
      <c r="C76" s="11"/>
      <c r="D76" s="11"/>
    </row>
    <row r="77" spans="3:4" ht="19.95" customHeight="1" x14ac:dyDescent="0.3">
      <c r="C77" s="11"/>
      <c r="D77" s="11"/>
    </row>
    <row r="78" spans="3:4" ht="19.95" customHeight="1" x14ac:dyDescent="0.3">
      <c r="C78" s="11"/>
      <c r="D78" s="11"/>
    </row>
    <row r="79" spans="3:4" ht="19.95" customHeight="1" x14ac:dyDescent="0.3">
      <c r="C79" s="11"/>
      <c r="D79" s="11"/>
    </row>
    <row r="80" spans="3:4" ht="19.95" customHeight="1" x14ac:dyDescent="0.3">
      <c r="C80" s="11"/>
      <c r="D80" s="11"/>
    </row>
    <row r="81" spans="3:4" ht="19.95" customHeight="1" x14ac:dyDescent="0.3">
      <c r="C81" s="11"/>
      <c r="D81" s="11"/>
    </row>
    <row r="82" spans="3:4" ht="19.95" customHeight="1" x14ac:dyDescent="0.3">
      <c r="C82" s="11"/>
      <c r="D82" s="11"/>
    </row>
    <row r="83" spans="3:4" ht="19.95" customHeight="1" x14ac:dyDescent="0.3">
      <c r="C83" s="11"/>
      <c r="D83" s="11"/>
    </row>
    <row r="84" spans="3:4" ht="19.95" customHeight="1" x14ac:dyDescent="0.3">
      <c r="C84" s="11"/>
      <c r="D84" s="11"/>
    </row>
    <row r="85" spans="3:4" ht="19.95" customHeight="1" x14ac:dyDescent="0.3">
      <c r="C85" s="11"/>
      <c r="D85" s="11"/>
    </row>
    <row r="86" spans="3:4" ht="19.95" customHeight="1" x14ac:dyDescent="0.3">
      <c r="C86" s="11"/>
      <c r="D86" s="11"/>
    </row>
    <row r="87" spans="3:4" ht="19.95" customHeight="1" x14ac:dyDescent="0.3">
      <c r="C87" s="11"/>
      <c r="D87" s="11"/>
    </row>
    <row r="88" spans="3:4" ht="19.95" customHeight="1" x14ac:dyDescent="0.3">
      <c r="C88" s="11"/>
      <c r="D88" s="11"/>
    </row>
    <row r="89" spans="3:4" ht="19.95" customHeight="1" x14ac:dyDescent="0.3">
      <c r="C89" s="11"/>
      <c r="D89" s="11"/>
    </row>
    <row r="90" spans="3:4" ht="19.95" customHeight="1" x14ac:dyDescent="0.3">
      <c r="C90" s="11"/>
      <c r="D90" s="11"/>
    </row>
    <row r="91" spans="3:4" ht="19.95" customHeight="1" x14ac:dyDescent="0.3">
      <c r="C91" s="11"/>
      <c r="D91" s="11"/>
    </row>
    <row r="92" spans="3:4" ht="19.95" customHeight="1" x14ac:dyDescent="0.3">
      <c r="C92" s="11"/>
      <c r="D92" s="11"/>
    </row>
    <row r="93" spans="3:4" ht="19.95" customHeight="1" x14ac:dyDescent="0.3">
      <c r="C93" s="11"/>
      <c r="D93" s="11"/>
    </row>
    <row r="94" spans="3:4" ht="19.95" customHeight="1" x14ac:dyDescent="0.3">
      <c r="C94" s="11"/>
      <c r="D94" s="11"/>
    </row>
    <row r="95" spans="3:4" ht="19.95" customHeight="1" x14ac:dyDescent="0.3">
      <c r="C95" s="11"/>
      <c r="D95" s="11"/>
    </row>
    <row r="96" spans="3:4" ht="19.95" customHeight="1" x14ac:dyDescent="0.3">
      <c r="C96" s="11"/>
      <c r="D96" s="11"/>
    </row>
    <row r="97" spans="3:4" ht="19.95" customHeight="1" x14ac:dyDescent="0.3">
      <c r="C97" s="11"/>
      <c r="D97" s="11"/>
    </row>
    <row r="98" spans="3:4" ht="19.95" customHeight="1" x14ac:dyDescent="0.3">
      <c r="C98" s="11"/>
      <c r="D98" s="11"/>
    </row>
    <row r="99" spans="3:4" ht="19.95" customHeight="1" x14ac:dyDescent="0.3">
      <c r="C99" s="11"/>
      <c r="D99" s="11"/>
    </row>
    <row r="100" spans="3:4" ht="19.95" customHeight="1" x14ac:dyDescent="0.3">
      <c r="C100" s="11"/>
      <c r="D100" s="11"/>
    </row>
    <row r="101" spans="3:4" ht="19.95" customHeight="1" x14ac:dyDescent="0.3">
      <c r="C101" s="11"/>
      <c r="D101" s="11"/>
    </row>
    <row r="102" spans="3:4" ht="19.95" customHeight="1" x14ac:dyDescent="0.3">
      <c r="C102" s="11"/>
      <c r="D102" s="11"/>
    </row>
    <row r="103" spans="3:4" ht="19.95" customHeight="1" x14ac:dyDescent="0.3">
      <c r="C103" s="11"/>
      <c r="D103" s="11"/>
    </row>
    <row r="104" spans="3:4" ht="19.95" customHeight="1" x14ac:dyDescent="0.3">
      <c r="C104" s="11"/>
      <c r="D104" s="11"/>
    </row>
    <row r="105" spans="3:4" ht="19.95" customHeight="1" x14ac:dyDescent="0.3">
      <c r="C105" s="11"/>
      <c r="D105" s="11"/>
    </row>
    <row r="106" spans="3:4" ht="19.95" customHeight="1" x14ac:dyDescent="0.3">
      <c r="C106" s="11"/>
      <c r="D106" s="11"/>
    </row>
    <row r="107" spans="3:4" ht="19.95" customHeight="1" x14ac:dyDescent="0.3">
      <c r="C107" s="11"/>
      <c r="D107" s="11"/>
    </row>
    <row r="108" spans="3:4" ht="19.95" customHeight="1" x14ac:dyDescent="0.3">
      <c r="C108" s="11"/>
      <c r="D108" s="11"/>
    </row>
    <row r="109" spans="3:4" ht="19.95" customHeight="1" x14ac:dyDescent="0.3">
      <c r="C109" s="11"/>
      <c r="D109" s="11"/>
    </row>
    <row r="110" spans="3:4" ht="19.95" customHeight="1" x14ac:dyDescent="0.3">
      <c r="C110" s="11"/>
      <c r="D110" s="11"/>
    </row>
    <row r="111" spans="3:4" ht="19.95" customHeight="1" x14ac:dyDescent="0.3">
      <c r="C111" s="11"/>
      <c r="D111" s="11"/>
    </row>
    <row r="112" spans="3:4" ht="19.95" customHeight="1" x14ac:dyDescent="0.3">
      <c r="C112" s="11"/>
      <c r="D112" s="11"/>
    </row>
    <row r="113" spans="3:4" ht="19.95" customHeight="1" x14ac:dyDescent="0.3">
      <c r="C113" s="11"/>
      <c r="D113" s="11"/>
    </row>
    <row r="114" spans="3:4" ht="19.95" customHeight="1" x14ac:dyDescent="0.3">
      <c r="C114" s="11"/>
      <c r="D114" s="11"/>
    </row>
    <row r="115" spans="3:4" ht="19.95" customHeight="1" x14ac:dyDescent="0.3">
      <c r="C115" s="11"/>
      <c r="D115" s="11"/>
    </row>
    <row r="116" spans="3:4" ht="19.95" customHeight="1" x14ac:dyDescent="0.3">
      <c r="C116" s="11"/>
      <c r="D116" s="11"/>
    </row>
    <row r="117" spans="3:4" ht="19.95" customHeight="1" x14ac:dyDescent="0.3">
      <c r="C117" s="11"/>
      <c r="D117" s="11"/>
    </row>
    <row r="118" spans="3:4" ht="19.95" customHeight="1" x14ac:dyDescent="0.3">
      <c r="C118" s="11"/>
      <c r="D118" s="11"/>
    </row>
    <row r="119" spans="3:4" ht="19.95" customHeight="1" x14ac:dyDescent="0.3">
      <c r="C119" s="11"/>
      <c r="D119" s="11"/>
    </row>
    <row r="120" spans="3:4" ht="19.95" customHeight="1" x14ac:dyDescent="0.3">
      <c r="C120" s="11"/>
      <c r="D120" s="11"/>
    </row>
    <row r="121" spans="3:4" ht="19.95" customHeight="1" x14ac:dyDescent="0.3">
      <c r="C121" s="11"/>
      <c r="D121" s="11"/>
    </row>
    <row r="122" spans="3:4" ht="19.95" customHeight="1" x14ac:dyDescent="0.3">
      <c r="C122" s="11"/>
      <c r="D122" s="11"/>
    </row>
    <row r="123" spans="3:4" ht="19.95" customHeight="1" x14ac:dyDescent="0.3">
      <c r="C123" s="11"/>
      <c r="D123" s="11"/>
    </row>
    <row r="124" spans="3:4" ht="19.95" customHeight="1" x14ac:dyDescent="0.3">
      <c r="C124" s="11"/>
      <c r="D124" s="11"/>
    </row>
    <row r="125" spans="3:4" ht="19.95" customHeight="1" x14ac:dyDescent="0.3">
      <c r="C125" s="11"/>
      <c r="D125" s="11"/>
    </row>
    <row r="126" spans="3:4" ht="19.95" customHeight="1" x14ac:dyDescent="0.3">
      <c r="C126" s="11"/>
      <c r="D126" s="11"/>
    </row>
    <row r="127" spans="3:4" ht="19.95" customHeight="1" x14ac:dyDescent="0.3">
      <c r="C127" s="11"/>
      <c r="D127" s="11"/>
    </row>
    <row r="128" spans="3:4" ht="19.95" customHeight="1" x14ac:dyDescent="0.3">
      <c r="C128" s="11"/>
      <c r="D128" s="11"/>
    </row>
    <row r="129" spans="3:4" ht="19.95" customHeight="1" x14ac:dyDescent="0.3">
      <c r="C129" s="11"/>
      <c r="D129" s="11"/>
    </row>
    <row r="130" spans="3:4" ht="19.95" customHeight="1" x14ac:dyDescent="0.3">
      <c r="C130" s="11"/>
      <c r="D130" s="11"/>
    </row>
    <row r="131" spans="3:4" ht="19.95" customHeight="1" x14ac:dyDescent="0.3">
      <c r="C131" s="11"/>
      <c r="D131" s="11"/>
    </row>
    <row r="132" spans="3:4" ht="19.95" customHeight="1" x14ac:dyDescent="0.3">
      <c r="C132" s="11"/>
      <c r="D132" s="11"/>
    </row>
    <row r="133" spans="3:4" ht="19.95" customHeight="1" x14ac:dyDescent="0.3">
      <c r="C133" s="11"/>
      <c r="D133" s="11"/>
    </row>
    <row r="134" spans="3:4" ht="19.95" customHeight="1" x14ac:dyDescent="0.3">
      <c r="C134" s="11"/>
      <c r="D134" s="11"/>
    </row>
    <row r="135" spans="3:4" ht="19.95" customHeight="1" x14ac:dyDescent="0.3">
      <c r="C135" s="11"/>
      <c r="D135" s="11"/>
    </row>
    <row r="136" spans="3:4" ht="19.95" customHeight="1" x14ac:dyDescent="0.3">
      <c r="C136" s="11"/>
      <c r="D136" s="11"/>
    </row>
    <row r="137" spans="3:4" ht="19.95" customHeight="1" x14ac:dyDescent="0.3">
      <c r="C137" s="11"/>
      <c r="D137" s="11"/>
    </row>
    <row r="138" spans="3:4" ht="19.95" customHeight="1" x14ac:dyDescent="0.3">
      <c r="C138" s="11"/>
      <c r="D138" s="11"/>
    </row>
    <row r="139" spans="3:4" ht="19.95" customHeight="1" x14ac:dyDescent="0.3">
      <c r="C139" s="11"/>
      <c r="D139" s="11"/>
    </row>
    <row r="140" spans="3:4" ht="19.95" customHeight="1" x14ac:dyDescent="0.3">
      <c r="C140" s="11"/>
      <c r="D140" s="11"/>
    </row>
    <row r="141" spans="3:4" ht="19.95" customHeight="1" x14ac:dyDescent="0.3">
      <c r="C141" s="11"/>
      <c r="D141" s="11"/>
    </row>
    <row r="142" spans="3:4" ht="19.95" customHeight="1" x14ac:dyDescent="0.3">
      <c r="C142" s="11"/>
      <c r="D142" s="11"/>
    </row>
    <row r="143" spans="3:4" ht="19.95" customHeight="1" x14ac:dyDescent="0.3">
      <c r="C143" s="11"/>
      <c r="D143" s="11"/>
    </row>
    <row r="144" spans="3:4" ht="19.95" customHeight="1" x14ac:dyDescent="0.3">
      <c r="C144" s="11"/>
      <c r="D144" s="11"/>
    </row>
    <row r="145" spans="3:4" ht="19.95" customHeight="1" x14ac:dyDescent="0.3">
      <c r="C145" s="11"/>
      <c r="D145" s="11"/>
    </row>
    <row r="146" spans="3:4" ht="19.95" customHeight="1" x14ac:dyDescent="0.3">
      <c r="C146" s="11"/>
      <c r="D146" s="11"/>
    </row>
    <row r="147" spans="3:4" ht="19.95" customHeight="1" x14ac:dyDescent="0.3">
      <c r="C147" s="11"/>
      <c r="D147" s="11"/>
    </row>
    <row r="148" spans="3:4" ht="19.95" customHeight="1" x14ac:dyDescent="0.3">
      <c r="C148" s="11"/>
      <c r="D148" s="11"/>
    </row>
    <row r="149" spans="3:4" ht="19.95" customHeight="1" x14ac:dyDescent="0.3">
      <c r="C149" s="11"/>
      <c r="D149" s="11"/>
    </row>
    <row r="150" spans="3:4" ht="19.95" customHeight="1" x14ac:dyDescent="0.3">
      <c r="C150" s="11"/>
      <c r="D150" s="11"/>
    </row>
    <row r="151" spans="3:4" ht="19.95" customHeight="1" x14ac:dyDescent="0.3">
      <c r="C151" s="11"/>
      <c r="D151" s="11"/>
    </row>
    <row r="152" spans="3:4" ht="19.95" customHeight="1" x14ac:dyDescent="0.3">
      <c r="C152" s="11"/>
      <c r="D152" s="11"/>
    </row>
    <row r="153" spans="3:4" ht="19.95" customHeight="1" x14ac:dyDescent="0.3">
      <c r="C153" s="11"/>
      <c r="D153" s="11"/>
    </row>
    <row r="154" spans="3:4" ht="19.95" customHeight="1" x14ac:dyDescent="0.3">
      <c r="C154" s="11"/>
      <c r="D154" s="11"/>
    </row>
    <row r="155" spans="3:4" ht="19.95" customHeight="1" x14ac:dyDescent="0.3">
      <c r="C155" s="11"/>
      <c r="D155" s="11"/>
    </row>
    <row r="156" spans="3:4" ht="19.95" customHeight="1" x14ac:dyDescent="0.3">
      <c r="C156" s="11"/>
      <c r="D156" s="11"/>
    </row>
    <row r="157" spans="3:4" ht="19.95" customHeight="1" x14ac:dyDescent="0.3">
      <c r="C157" s="11"/>
      <c r="D157" s="11"/>
    </row>
    <row r="158" spans="3:4" ht="19.95" customHeight="1" x14ac:dyDescent="0.3">
      <c r="C158" s="11"/>
      <c r="D158" s="11"/>
    </row>
    <row r="159" spans="3:4" ht="19.95" customHeight="1" x14ac:dyDescent="0.3">
      <c r="C159" s="11"/>
      <c r="D159" s="11"/>
    </row>
    <row r="160" spans="3:4" ht="19.95" customHeight="1" x14ac:dyDescent="0.3">
      <c r="C160" s="11"/>
      <c r="D160" s="11"/>
    </row>
    <row r="161" spans="3:4" ht="19.95" customHeight="1" x14ac:dyDescent="0.3">
      <c r="C161" s="11"/>
      <c r="D161" s="11"/>
    </row>
    <row r="162" spans="3:4" ht="19.95" customHeight="1" x14ac:dyDescent="0.3">
      <c r="C162" s="11"/>
      <c r="D162" s="11"/>
    </row>
    <row r="163" spans="3:4" ht="19.95" customHeight="1" x14ac:dyDescent="0.3">
      <c r="C163" s="11"/>
      <c r="D163" s="11"/>
    </row>
    <row r="164" spans="3:4" ht="19.95" customHeight="1" x14ac:dyDescent="0.3">
      <c r="C164" s="11"/>
      <c r="D164" s="11"/>
    </row>
    <row r="165" spans="3:4" ht="19.95" customHeight="1" x14ac:dyDescent="0.3">
      <c r="C165" s="11"/>
      <c r="D165" s="11"/>
    </row>
    <row r="166" spans="3:4" ht="19.95" customHeight="1" x14ac:dyDescent="0.3">
      <c r="C166" s="11"/>
      <c r="D166" s="11"/>
    </row>
    <row r="167" spans="3:4" ht="19.95" customHeight="1" x14ac:dyDescent="0.3">
      <c r="C167" s="11"/>
      <c r="D167" s="11"/>
    </row>
    <row r="168" spans="3:4" ht="19.95" customHeight="1" x14ac:dyDescent="0.3">
      <c r="C168" s="11"/>
      <c r="D168" s="11"/>
    </row>
    <row r="169" spans="3:4" ht="19.95" customHeight="1" x14ac:dyDescent="0.3">
      <c r="C169" s="11"/>
      <c r="D169" s="11"/>
    </row>
    <row r="170" spans="3:4" ht="19.95" customHeight="1" x14ac:dyDescent="0.3">
      <c r="C170" s="11"/>
      <c r="D170" s="11"/>
    </row>
    <row r="171" spans="3:4" ht="19.95" customHeight="1" x14ac:dyDescent="0.3">
      <c r="C171" s="11"/>
      <c r="D171" s="11"/>
    </row>
    <row r="172" spans="3:4" ht="19.95" customHeight="1" x14ac:dyDescent="0.3">
      <c r="C172" s="11"/>
      <c r="D172" s="11"/>
    </row>
    <row r="173" spans="3:4" ht="19.95" customHeight="1" x14ac:dyDescent="0.3">
      <c r="C173" s="11"/>
      <c r="D173" s="11"/>
    </row>
    <row r="174" spans="3:4" ht="19.95" customHeight="1" x14ac:dyDescent="0.3">
      <c r="C174" s="11"/>
      <c r="D174" s="11"/>
    </row>
    <row r="175" spans="3:4" ht="19.95" customHeight="1" x14ac:dyDescent="0.3">
      <c r="C175" s="11"/>
      <c r="D175" s="11"/>
    </row>
    <row r="176" spans="3:4" ht="19.95" customHeight="1" x14ac:dyDescent="0.3">
      <c r="C176" s="11"/>
      <c r="D176" s="11"/>
    </row>
    <row r="177" spans="3:4" ht="19.95" customHeight="1" x14ac:dyDescent="0.3">
      <c r="C177" s="11"/>
      <c r="D177" s="11"/>
    </row>
    <row r="178" spans="3:4" ht="19.95" customHeight="1" x14ac:dyDescent="0.3">
      <c r="C178" s="11"/>
      <c r="D178" s="11"/>
    </row>
    <row r="179" spans="3:4" ht="19.95" customHeight="1" x14ac:dyDescent="0.3">
      <c r="C179" s="11"/>
      <c r="D179" s="11"/>
    </row>
    <row r="180" spans="3:4" ht="19.95" customHeight="1" x14ac:dyDescent="0.3">
      <c r="C180" s="11"/>
      <c r="D180" s="11"/>
    </row>
    <row r="181" spans="3:4" ht="19.95" customHeight="1" x14ac:dyDescent="0.3">
      <c r="C181" s="11"/>
      <c r="D181" s="11"/>
    </row>
    <row r="182" spans="3:4" ht="19.95" customHeight="1" x14ac:dyDescent="0.3">
      <c r="C182" s="11"/>
      <c r="D182" s="11"/>
    </row>
    <row r="183" spans="3:4" ht="19.95" customHeight="1" x14ac:dyDescent="0.3">
      <c r="C183" s="11"/>
      <c r="D183" s="11"/>
    </row>
    <row r="184" spans="3:4" ht="19.95" customHeight="1" x14ac:dyDescent="0.3">
      <c r="C184" s="11"/>
      <c r="D184" s="11"/>
    </row>
    <row r="185" spans="3:4" ht="19.95" customHeight="1" x14ac:dyDescent="0.3">
      <c r="C185" s="11"/>
      <c r="D185" s="11"/>
    </row>
    <row r="186" spans="3:4" ht="19.95" customHeight="1" x14ac:dyDescent="0.3">
      <c r="C186" s="11"/>
      <c r="D186" s="11"/>
    </row>
    <row r="187" spans="3:4" ht="19.95" customHeight="1" x14ac:dyDescent="0.3">
      <c r="C187" s="11"/>
      <c r="D187" s="11"/>
    </row>
    <row r="188" spans="3:4" ht="19.95" customHeight="1" x14ac:dyDescent="0.3">
      <c r="C188" s="11"/>
      <c r="D188" s="11"/>
    </row>
    <row r="189" spans="3:4" ht="19.95" customHeight="1" x14ac:dyDescent="0.3">
      <c r="C189" s="11"/>
      <c r="D189" s="11"/>
    </row>
    <row r="190" spans="3:4" ht="19.95" customHeight="1" x14ac:dyDescent="0.3">
      <c r="C190" s="11"/>
      <c r="D190" s="11"/>
    </row>
    <row r="191" spans="3:4" ht="19.95" customHeight="1" x14ac:dyDescent="0.3">
      <c r="C191" s="11"/>
      <c r="D191" s="11"/>
    </row>
    <row r="192" spans="3:4" ht="19.95" customHeight="1" x14ac:dyDescent="0.3">
      <c r="C192" s="11"/>
      <c r="D192" s="11"/>
    </row>
    <row r="193" spans="3:4" ht="19.95" customHeight="1" x14ac:dyDescent="0.3">
      <c r="C193" s="11"/>
      <c r="D193" s="11"/>
    </row>
    <row r="194" spans="3:4" ht="19.95" customHeight="1" x14ac:dyDescent="0.3">
      <c r="C194" s="11"/>
      <c r="D194" s="11"/>
    </row>
    <row r="195" spans="3:4" ht="19.95" customHeight="1" x14ac:dyDescent="0.3">
      <c r="C195" s="11"/>
      <c r="D195" s="11"/>
    </row>
    <row r="196" spans="3:4" ht="19.95" customHeight="1" x14ac:dyDescent="0.3">
      <c r="C196" s="11"/>
      <c r="D196" s="11"/>
    </row>
    <row r="197" spans="3:4" ht="19.95" customHeight="1" x14ac:dyDescent="0.3">
      <c r="C197" s="11"/>
      <c r="D197" s="11"/>
    </row>
    <row r="198" spans="3:4" ht="19.95" customHeight="1" x14ac:dyDescent="0.3">
      <c r="C198" s="11"/>
      <c r="D198" s="11"/>
    </row>
    <row r="199" spans="3:4" ht="19.95" customHeight="1" x14ac:dyDescent="0.3">
      <c r="C199" s="11"/>
      <c r="D199" s="11"/>
    </row>
    <row r="200" spans="3:4" ht="19.95" customHeight="1" x14ac:dyDescent="0.3">
      <c r="C200" s="11"/>
      <c r="D200" s="11"/>
    </row>
    <row r="201" spans="3:4" ht="19.95" customHeight="1" x14ac:dyDescent="0.3">
      <c r="C201" s="11"/>
      <c r="D201" s="11"/>
    </row>
    <row r="202" spans="3:4" ht="19.95" customHeight="1" x14ac:dyDescent="0.3">
      <c r="C202" s="11"/>
      <c r="D202" s="11"/>
    </row>
    <row r="203" spans="3:4" ht="19.95" customHeight="1" x14ac:dyDescent="0.3">
      <c r="C203" s="11"/>
      <c r="D203" s="11"/>
    </row>
    <row r="204" spans="3:4" ht="19.95" customHeight="1" x14ac:dyDescent="0.3">
      <c r="C204" s="11"/>
      <c r="D204" s="11"/>
    </row>
    <row r="205" spans="3:4" ht="19.95" customHeight="1" x14ac:dyDescent="0.3">
      <c r="C205" s="11"/>
      <c r="D205" s="11"/>
    </row>
    <row r="206" spans="3:4" ht="19.95" customHeight="1" x14ac:dyDescent="0.3">
      <c r="C206" s="11"/>
      <c r="D206" s="11"/>
    </row>
    <row r="207" spans="3:4" ht="19.95" customHeight="1" x14ac:dyDescent="0.3">
      <c r="C207" s="11"/>
      <c r="D207" s="11"/>
    </row>
    <row r="208" spans="3:4" ht="19.95" customHeight="1" x14ac:dyDescent="0.3">
      <c r="C208" s="11"/>
      <c r="D208" s="11"/>
    </row>
    <row r="209" spans="3:4" ht="19.95" customHeight="1" x14ac:dyDescent="0.3">
      <c r="C209" s="11"/>
      <c r="D209" s="11"/>
    </row>
    <row r="210" spans="3:4" ht="19.95" customHeight="1" x14ac:dyDescent="0.3">
      <c r="C210" s="11"/>
      <c r="D210" s="11"/>
    </row>
    <row r="211" spans="3:4" ht="19.95" customHeight="1" x14ac:dyDescent="0.3">
      <c r="C211" s="11"/>
      <c r="D211" s="11"/>
    </row>
    <row r="212" spans="3:4" ht="19.95" customHeight="1" x14ac:dyDescent="0.3">
      <c r="C212" s="11"/>
      <c r="D212" s="11"/>
    </row>
    <row r="213" spans="3:4" ht="19.95" customHeight="1" x14ac:dyDescent="0.3">
      <c r="C213" s="11"/>
      <c r="D213" s="11"/>
    </row>
    <row r="214" spans="3:4" ht="19.95" customHeight="1" x14ac:dyDescent="0.3">
      <c r="C214" s="11"/>
      <c r="D214" s="11"/>
    </row>
    <row r="215" spans="3:4" ht="19.95" customHeight="1" x14ac:dyDescent="0.3">
      <c r="C215" s="11"/>
      <c r="D215" s="11"/>
    </row>
    <row r="216" spans="3:4" ht="19.95" customHeight="1" x14ac:dyDescent="0.3">
      <c r="C216" s="11"/>
      <c r="D216" s="11"/>
    </row>
    <row r="217" spans="3:4" ht="19.95" customHeight="1" x14ac:dyDescent="0.3">
      <c r="C217" s="11"/>
      <c r="D217" s="11"/>
    </row>
    <row r="218" spans="3:4" ht="19.95" customHeight="1" x14ac:dyDescent="0.3">
      <c r="C218" s="11"/>
      <c r="D218" s="11"/>
    </row>
    <row r="219" spans="3:4" ht="19.95" customHeight="1" x14ac:dyDescent="0.3">
      <c r="C219" s="11"/>
      <c r="D219" s="11"/>
    </row>
    <row r="220" spans="3:4" ht="19.95" customHeight="1" x14ac:dyDescent="0.3">
      <c r="C220" s="11"/>
      <c r="D220" s="11"/>
    </row>
    <row r="221" spans="3:4" ht="19.95" customHeight="1" x14ac:dyDescent="0.3">
      <c r="C221" s="11"/>
      <c r="D221" s="11"/>
    </row>
    <row r="222" spans="3:4" ht="19.95" customHeight="1" x14ac:dyDescent="0.3">
      <c r="C222" s="11"/>
      <c r="D222" s="11"/>
    </row>
    <row r="223" spans="3:4" ht="19.95" customHeight="1" x14ac:dyDescent="0.3">
      <c r="C223" s="11"/>
      <c r="D223" s="11"/>
    </row>
    <row r="224" spans="3:4" ht="19.95" customHeight="1" x14ac:dyDescent="0.3">
      <c r="C224" s="11"/>
      <c r="D224" s="11"/>
    </row>
    <row r="225" spans="3:4" ht="19.95" customHeight="1" x14ac:dyDescent="0.3">
      <c r="C225" s="11"/>
      <c r="D225" s="11"/>
    </row>
    <row r="226" spans="3:4" ht="19.95" customHeight="1" x14ac:dyDescent="0.3">
      <c r="C226" s="11"/>
      <c r="D226" s="11"/>
    </row>
    <row r="227" spans="3:4" ht="19.95" customHeight="1" x14ac:dyDescent="0.3">
      <c r="C227" s="11"/>
      <c r="D227" s="11"/>
    </row>
    <row r="228" spans="3:4" ht="19.95" customHeight="1" x14ac:dyDescent="0.3">
      <c r="C228" s="11"/>
      <c r="D228" s="11"/>
    </row>
    <row r="229" spans="3:4" ht="19.95" customHeight="1" x14ac:dyDescent="0.3">
      <c r="C229" s="11"/>
      <c r="D229" s="11"/>
    </row>
    <row r="230" spans="3:4" ht="19.95" customHeight="1" x14ac:dyDescent="0.3">
      <c r="C230" s="11"/>
      <c r="D230" s="11"/>
    </row>
    <row r="231" spans="3:4" ht="19.95" customHeight="1" x14ac:dyDescent="0.3">
      <c r="C231" s="11"/>
      <c r="D231" s="11"/>
    </row>
    <row r="232" spans="3:4" ht="19.95" customHeight="1" x14ac:dyDescent="0.3">
      <c r="C232" s="11"/>
      <c r="D232" s="11"/>
    </row>
    <row r="233" spans="3:4" ht="19.95" customHeight="1" x14ac:dyDescent="0.3">
      <c r="C233" s="11"/>
      <c r="D233" s="11"/>
    </row>
    <row r="234" spans="3:4" ht="19.95" customHeight="1" x14ac:dyDescent="0.3">
      <c r="C234" s="11"/>
      <c r="D234" s="11"/>
    </row>
    <row r="235" spans="3:4" ht="19.95" customHeight="1" x14ac:dyDescent="0.3">
      <c r="C235" s="11"/>
      <c r="D235" s="11"/>
    </row>
    <row r="236" spans="3:4" ht="19.95" customHeight="1" x14ac:dyDescent="0.3">
      <c r="C236" s="11"/>
      <c r="D236" s="11"/>
    </row>
    <row r="237" spans="3:4" ht="19.95" customHeight="1" x14ac:dyDescent="0.3">
      <c r="C237" s="11"/>
      <c r="D237" s="11"/>
    </row>
    <row r="238" spans="3:4" ht="19.95" customHeight="1" x14ac:dyDescent="0.3">
      <c r="C238" s="11"/>
      <c r="D238" s="11"/>
    </row>
    <row r="239" spans="3:4" ht="19.95" customHeight="1" x14ac:dyDescent="0.3">
      <c r="C239" s="11"/>
      <c r="D239" s="11"/>
    </row>
    <row r="240" spans="3:4" ht="19.95" customHeight="1" x14ac:dyDescent="0.3">
      <c r="C240" s="11"/>
      <c r="D240" s="11"/>
    </row>
    <row r="241" spans="3:4" ht="19.95" customHeight="1" x14ac:dyDescent="0.3">
      <c r="C241" s="11"/>
      <c r="D241" s="11"/>
    </row>
    <row r="242" spans="3:4" ht="19.95" customHeight="1" x14ac:dyDescent="0.3">
      <c r="C242" s="11"/>
      <c r="D242" s="11"/>
    </row>
    <row r="243" spans="3:4" ht="19.95" customHeight="1" x14ac:dyDescent="0.3">
      <c r="C243" s="11"/>
      <c r="D243" s="11"/>
    </row>
    <row r="244" spans="3:4" ht="19.95" customHeight="1" x14ac:dyDescent="0.3">
      <c r="C244" s="11"/>
      <c r="D244" s="11"/>
    </row>
    <row r="245" spans="3:4" ht="19.95" customHeight="1" x14ac:dyDescent="0.3">
      <c r="C245" s="11"/>
      <c r="D245" s="11"/>
    </row>
    <row r="246" spans="3:4" ht="19.95" customHeight="1" x14ac:dyDescent="0.3">
      <c r="C246" s="11"/>
      <c r="D246" s="11"/>
    </row>
    <row r="247" spans="3:4" ht="19.95" customHeight="1" x14ac:dyDescent="0.3">
      <c r="C247" s="11"/>
      <c r="D247" s="11"/>
    </row>
    <row r="248" spans="3:4" ht="19.95" customHeight="1" x14ac:dyDescent="0.3">
      <c r="C248" s="11"/>
      <c r="D248" s="11"/>
    </row>
    <row r="249" spans="3:4" ht="19.95" customHeight="1" x14ac:dyDescent="0.3">
      <c r="C249" s="11"/>
      <c r="D249" s="11"/>
    </row>
    <row r="250" spans="3:4" ht="19.95" customHeight="1" x14ac:dyDescent="0.3">
      <c r="C250" s="11"/>
      <c r="D250" s="11"/>
    </row>
    <row r="251" spans="3:4" ht="19.95" customHeight="1" x14ac:dyDescent="0.3">
      <c r="C251" s="11"/>
      <c r="D251" s="11"/>
    </row>
    <row r="252" spans="3:4" ht="19.95" customHeight="1" x14ac:dyDescent="0.3">
      <c r="C252" s="11"/>
      <c r="D252" s="11"/>
    </row>
    <row r="253" spans="3:4" ht="19.95" customHeight="1" x14ac:dyDescent="0.3">
      <c r="C253" s="11"/>
      <c r="D253" s="11"/>
    </row>
    <row r="254" spans="3:4" ht="19.95" customHeight="1" x14ac:dyDescent="0.3">
      <c r="C254" s="11"/>
      <c r="D254" s="11"/>
    </row>
    <row r="255" spans="3:4" ht="19.95" customHeight="1" x14ac:dyDescent="0.3">
      <c r="C255" s="11"/>
      <c r="D255" s="11"/>
    </row>
    <row r="256" spans="3:4" ht="19.95" customHeight="1" x14ac:dyDescent="0.3">
      <c r="C256" s="11"/>
      <c r="D256" s="11"/>
    </row>
    <row r="257" spans="3:4" ht="19.95" customHeight="1" x14ac:dyDescent="0.3">
      <c r="C257" s="11"/>
      <c r="D257" s="11"/>
    </row>
    <row r="258" spans="3:4" ht="19.95" customHeight="1" x14ac:dyDescent="0.3">
      <c r="C258" s="11"/>
      <c r="D258" s="11"/>
    </row>
    <row r="259" spans="3:4" ht="19.95" customHeight="1" x14ac:dyDescent="0.3">
      <c r="C259" s="11"/>
      <c r="D259" s="11"/>
    </row>
    <row r="260" spans="3:4" ht="19.95" customHeight="1" x14ac:dyDescent="0.3">
      <c r="C260" s="11"/>
      <c r="D260" s="11"/>
    </row>
    <row r="261" spans="3:4" ht="19.95" customHeight="1" x14ac:dyDescent="0.3">
      <c r="C261" s="11"/>
      <c r="D261" s="11"/>
    </row>
    <row r="262" spans="3:4" ht="19.95" customHeight="1" x14ac:dyDescent="0.3">
      <c r="C262" s="11"/>
      <c r="D262" s="11"/>
    </row>
    <row r="263" spans="3:4" ht="19.95" customHeight="1" x14ac:dyDescent="0.3">
      <c r="C263" s="11"/>
      <c r="D263" s="11"/>
    </row>
    <row r="264" spans="3:4" ht="19.95" customHeight="1" x14ac:dyDescent="0.3">
      <c r="C264" s="11"/>
      <c r="D264" s="11"/>
    </row>
    <row r="265" spans="3:4" ht="19.95" customHeight="1" x14ac:dyDescent="0.3">
      <c r="C265" s="11"/>
      <c r="D265" s="11"/>
    </row>
    <row r="266" spans="3:4" ht="19.95" customHeight="1" x14ac:dyDescent="0.3">
      <c r="C266" s="11"/>
      <c r="D266" s="11"/>
    </row>
    <row r="267" spans="3:4" ht="19.95" customHeight="1" x14ac:dyDescent="0.3">
      <c r="C267" s="11"/>
      <c r="D267" s="11"/>
    </row>
    <row r="268" spans="3:4" ht="19.95" customHeight="1" x14ac:dyDescent="0.3">
      <c r="C268" s="11"/>
      <c r="D268" s="11"/>
    </row>
    <row r="269" spans="3:4" ht="19.95" customHeight="1" x14ac:dyDescent="0.3">
      <c r="C269" s="11"/>
      <c r="D269" s="11"/>
    </row>
    <row r="270" spans="3:4" ht="19.95" customHeight="1" x14ac:dyDescent="0.3">
      <c r="C270" s="11"/>
      <c r="D270" s="11"/>
    </row>
    <row r="271" spans="3:4" ht="19.95" customHeight="1" x14ac:dyDescent="0.3">
      <c r="C271" s="11"/>
      <c r="D271" s="11"/>
    </row>
    <row r="272" spans="3:4" ht="19.95" customHeight="1" x14ac:dyDescent="0.3">
      <c r="C272" s="11"/>
      <c r="D272" s="11"/>
    </row>
    <row r="273" spans="3:4" ht="19.95" customHeight="1" x14ac:dyDescent="0.3">
      <c r="C273" s="11"/>
      <c r="D273" s="11"/>
    </row>
    <row r="274" spans="3:4" ht="19.95" customHeight="1" x14ac:dyDescent="0.3">
      <c r="C274" s="11"/>
      <c r="D274" s="11"/>
    </row>
    <row r="275" spans="3:4" ht="19.95" customHeight="1" x14ac:dyDescent="0.3">
      <c r="C275" s="11"/>
      <c r="D275" s="11"/>
    </row>
    <row r="276" spans="3:4" ht="19.95" customHeight="1" x14ac:dyDescent="0.3">
      <c r="C276" s="11"/>
      <c r="D276" s="11"/>
    </row>
    <row r="277" spans="3:4" ht="19.95" customHeight="1" x14ac:dyDescent="0.3">
      <c r="C277" s="11"/>
      <c r="D277" s="11"/>
    </row>
    <row r="278" spans="3:4" ht="19.95" customHeight="1" x14ac:dyDescent="0.3">
      <c r="C278" s="11"/>
      <c r="D278" s="11"/>
    </row>
    <row r="279" spans="3:4" ht="19.95" customHeight="1" x14ac:dyDescent="0.3">
      <c r="C279" s="11"/>
      <c r="D279" s="11"/>
    </row>
    <row r="280" spans="3:4" ht="19.95" customHeight="1" x14ac:dyDescent="0.3">
      <c r="C280" s="11"/>
      <c r="D280" s="11"/>
    </row>
    <row r="281" spans="3:4" ht="19.95" customHeight="1" x14ac:dyDescent="0.3">
      <c r="C281" s="11"/>
      <c r="D281" s="11"/>
    </row>
    <row r="282" spans="3:4" ht="19.95" customHeight="1" x14ac:dyDescent="0.3">
      <c r="C282" s="11"/>
      <c r="D282" s="11"/>
    </row>
    <row r="283" spans="3:4" ht="19.95" customHeight="1" x14ac:dyDescent="0.3">
      <c r="C283" s="11"/>
      <c r="D283" s="11"/>
    </row>
    <row r="284" spans="3:4" ht="19.95" customHeight="1" x14ac:dyDescent="0.3">
      <c r="C284" s="11"/>
      <c r="D284" s="11"/>
    </row>
    <row r="285" spans="3:4" ht="19.95" customHeight="1" x14ac:dyDescent="0.3">
      <c r="C285" s="11"/>
      <c r="D285" s="11"/>
    </row>
    <row r="286" spans="3:4" ht="19.95" customHeight="1" x14ac:dyDescent="0.3">
      <c r="C286" s="11"/>
      <c r="D286" s="11"/>
    </row>
    <row r="287" spans="3:4" ht="19.95" customHeight="1" x14ac:dyDescent="0.3">
      <c r="C287" s="11"/>
      <c r="D287" s="11"/>
    </row>
    <row r="288" spans="3:4" ht="19.95" customHeight="1" x14ac:dyDescent="0.3">
      <c r="C288" s="11"/>
      <c r="D288" s="11"/>
    </row>
    <row r="289" spans="3:4" ht="19.95" customHeight="1" x14ac:dyDescent="0.3">
      <c r="C289" s="11"/>
      <c r="D289" s="11"/>
    </row>
    <row r="290" spans="3:4" ht="19.95" customHeight="1" x14ac:dyDescent="0.3">
      <c r="C290" s="11"/>
      <c r="D290" s="11"/>
    </row>
    <row r="291" spans="3:4" ht="19.95" customHeight="1" x14ac:dyDescent="0.3">
      <c r="C291" s="11"/>
      <c r="D291" s="11"/>
    </row>
    <row r="292" spans="3:4" ht="19.95" customHeight="1" x14ac:dyDescent="0.3">
      <c r="C292" s="11"/>
      <c r="D292" s="11"/>
    </row>
    <row r="293" spans="3:4" ht="19.95" customHeight="1" x14ac:dyDescent="0.3">
      <c r="C293" s="11"/>
      <c r="D293" s="11"/>
    </row>
    <row r="294" spans="3:4" ht="19.95" customHeight="1" x14ac:dyDescent="0.3">
      <c r="C294" s="11"/>
      <c r="D294" s="11"/>
    </row>
    <row r="295" spans="3:4" ht="19.95" customHeight="1" x14ac:dyDescent="0.3">
      <c r="C295" s="11"/>
      <c r="D295" s="11"/>
    </row>
    <row r="296" spans="3:4" ht="19.95" customHeight="1" x14ac:dyDescent="0.3">
      <c r="C296" s="11"/>
      <c r="D296" s="11"/>
    </row>
    <row r="297" spans="3:4" ht="19.95" customHeight="1" x14ac:dyDescent="0.3">
      <c r="C297" s="11"/>
      <c r="D297" s="11"/>
    </row>
    <row r="298" spans="3:4" ht="19.95" customHeight="1" x14ac:dyDescent="0.3">
      <c r="C298" s="11"/>
      <c r="D298" s="11"/>
    </row>
    <row r="299" spans="3:4" ht="19.95" customHeight="1" x14ac:dyDescent="0.3">
      <c r="C299" s="11"/>
      <c r="D299" s="11"/>
    </row>
    <row r="300" spans="3:4" ht="19.95" customHeight="1" x14ac:dyDescent="0.3">
      <c r="C300" s="11"/>
      <c r="D300" s="11"/>
    </row>
    <row r="301" spans="3:4" ht="19.95" customHeight="1" x14ac:dyDescent="0.3">
      <c r="C301" s="11"/>
      <c r="D301" s="11"/>
    </row>
    <row r="302" spans="3:4" ht="19.95" customHeight="1" x14ac:dyDescent="0.3">
      <c r="C302" s="11"/>
      <c r="D302" s="11"/>
    </row>
    <row r="303" spans="3:4" ht="19.95" customHeight="1" x14ac:dyDescent="0.3">
      <c r="C303" s="11"/>
      <c r="D303" s="11"/>
    </row>
    <row r="304" spans="3:4" ht="19.95" customHeight="1" x14ac:dyDescent="0.3">
      <c r="C304" s="11"/>
      <c r="D304" s="11"/>
    </row>
    <row r="305" spans="3:4" ht="19.95" customHeight="1" x14ac:dyDescent="0.3">
      <c r="C305" s="11"/>
      <c r="D305" s="11"/>
    </row>
    <row r="306" spans="3:4" ht="19.95" customHeight="1" x14ac:dyDescent="0.3">
      <c r="C306" s="11"/>
      <c r="D306" s="11"/>
    </row>
    <row r="307" spans="3:4" ht="19.95" customHeight="1" x14ac:dyDescent="0.3">
      <c r="C307" s="11"/>
      <c r="D307" s="11"/>
    </row>
    <row r="308" spans="3:4" ht="19.95" customHeight="1" x14ac:dyDescent="0.3">
      <c r="C308" s="11"/>
      <c r="D308" s="11"/>
    </row>
    <row r="309" spans="3:4" ht="19.95" customHeight="1" x14ac:dyDescent="0.3">
      <c r="C309" s="11"/>
      <c r="D309" s="11"/>
    </row>
    <row r="310" spans="3:4" ht="19.95" customHeight="1" x14ac:dyDescent="0.3">
      <c r="C310" s="11"/>
      <c r="D310" s="11"/>
    </row>
    <row r="311" spans="3:4" ht="19.95" customHeight="1" x14ac:dyDescent="0.3">
      <c r="C311" s="11"/>
      <c r="D311" s="11"/>
    </row>
    <row r="312" spans="3:4" ht="19.95" customHeight="1" x14ac:dyDescent="0.3">
      <c r="C312" s="11"/>
      <c r="D312" s="11"/>
    </row>
    <row r="313" spans="3:4" ht="19.95" customHeight="1" x14ac:dyDescent="0.3">
      <c r="C313" s="11"/>
      <c r="D313" s="11"/>
    </row>
    <row r="314" spans="3:4" ht="19.95" customHeight="1" x14ac:dyDescent="0.3">
      <c r="C314" s="11"/>
      <c r="D314" s="11"/>
    </row>
    <row r="315" spans="3:4" ht="19.95" customHeight="1" x14ac:dyDescent="0.3">
      <c r="C315" s="11"/>
      <c r="D315" s="11"/>
    </row>
    <row r="316" spans="3:4" ht="19.95" customHeight="1" x14ac:dyDescent="0.3">
      <c r="C316" s="11"/>
      <c r="D316" s="11"/>
    </row>
    <row r="317" spans="3:4" ht="19.95" customHeight="1" x14ac:dyDescent="0.3">
      <c r="C317" s="11"/>
      <c r="D317" s="11"/>
    </row>
    <row r="318" spans="3:4" ht="19.95" customHeight="1" x14ac:dyDescent="0.3">
      <c r="C318" s="11"/>
      <c r="D318" s="11"/>
    </row>
    <row r="319" spans="3:4" ht="19.95" customHeight="1" x14ac:dyDescent="0.3">
      <c r="C319" s="11"/>
      <c r="D319" s="11"/>
    </row>
    <row r="320" spans="3:4" ht="19.95" customHeight="1" x14ac:dyDescent="0.3">
      <c r="C320" s="11"/>
      <c r="D320" s="11"/>
    </row>
    <row r="321" spans="3:4" ht="19.95" customHeight="1" x14ac:dyDescent="0.3">
      <c r="C321" s="11"/>
      <c r="D321" s="11"/>
    </row>
    <row r="322" spans="3:4" ht="19.95" customHeight="1" x14ac:dyDescent="0.3">
      <c r="C322" s="11"/>
      <c r="D322" s="11"/>
    </row>
    <row r="323" spans="3:4" ht="19.95" customHeight="1" x14ac:dyDescent="0.3">
      <c r="C323" s="11"/>
      <c r="D323" s="11"/>
    </row>
    <row r="324" spans="3:4" ht="19.95" customHeight="1" x14ac:dyDescent="0.3">
      <c r="C324" s="11"/>
      <c r="D324" s="11"/>
    </row>
    <row r="325" spans="3:4" ht="19.95" customHeight="1" x14ac:dyDescent="0.3">
      <c r="C325" s="11"/>
      <c r="D325" s="11"/>
    </row>
    <row r="326" spans="3:4" ht="19.95" customHeight="1" x14ac:dyDescent="0.3">
      <c r="C326" s="11"/>
      <c r="D326" s="11"/>
    </row>
    <row r="327" spans="3:4" ht="19.95" customHeight="1" x14ac:dyDescent="0.3">
      <c r="C327" s="11"/>
      <c r="D327" s="11"/>
    </row>
    <row r="328" spans="3:4" ht="19.95" customHeight="1" x14ac:dyDescent="0.3">
      <c r="C328" s="11"/>
      <c r="D328" s="11"/>
    </row>
    <row r="329" spans="3:4" ht="19.95" customHeight="1" x14ac:dyDescent="0.3">
      <c r="C329" s="11"/>
      <c r="D329" s="11"/>
    </row>
    <row r="330" spans="3:4" ht="19.95" customHeight="1" x14ac:dyDescent="0.3">
      <c r="C330" s="11"/>
      <c r="D330" s="11"/>
    </row>
    <row r="331" spans="3:4" ht="19.95" customHeight="1" x14ac:dyDescent="0.3">
      <c r="C331" s="11"/>
      <c r="D331" s="11"/>
    </row>
    <row r="332" spans="3:4" ht="19.95" customHeight="1" x14ac:dyDescent="0.3">
      <c r="C332" s="11"/>
      <c r="D332" s="11"/>
    </row>
    <row r="333" spans="3:4" ht="19.95" customHeight="1" x14ac:dyDescent="0.3">
      <c r="C333" s="11"/>
      <c r="D333" s="11"/>
    </row>
    <row r="334" spans="3:4" ht="19.95" customHeight="1" x14ac:dyDescent="0.3">
      <c r="C334" s="11"/>
      <c r="D334" s="11"/>
    </row>
    <row r="335" spans="3:4" ht="19.95" customHeight="1" x14ac:dyDescent="0.3">
      <c r="C335" s="11"/>
      <c r="D335" s="11"/>
    </row>
    <row r="336" spans="3:4" ht="19.95" customHeight="1" x14ac:dyDescent="0.3">
      <c r="C336" s="11"/>
      <c r="D336" s="11"/>
    </row>
    <row r="337" spans="3:4" ht="19.95" customHeight="1" x14ac:dyDescent="0.3">
      <c r="C337" s="11"/>
      <c r="D337" s="11"/>
    </row>
    <row r="338" spans="3:4" ht="19.95" customHeight="1" x14ac:dyDescent="0.3">
      <c r="C338" s="11"/>
      <c r="D338" s="11"/>
    </row>
    <row r="339" spans="3:4" ht="19.95" customHeight="1" x14ac:dyDescent="0.3">
      <c r="C339" s="11"/>
      <c r="D339" s="11"/>
    </row>
    <row r="340" spans="3:4" ht="19.95" customHeight="1" x14ac:dyDescent="0.3">
      <c r="C340" s="11"/>
      <c r="D340" s="11"/>
    </row>
    <row r="341" spans="3:4" ht="19.95" customHeight="1" x14ac:dyDescent="0.3">
      <c r="C341" s="11"/>
      <c r="D341" s="11"/>
    </row>
    <row r="342" spans="3:4" ht="19.95" customHeight="1" x14ac:dyDescent="0.3">
      <c r="C342" s="11"/>
      <c r="D342" s="11"/>
    </row>
    <row r="343" spans="3:4" ht="19.95" customHeight="1" x14ac:dyDescent="0.3">
      <c r="C343" s="11"/>
      <c r="D343" s="11"/>
    </row>
    <row r="344" spans="3:4" ht="19.95" customHeight="1" x14ac:dyDescent="0.3">
      <c r="C344" s="11"/>
      <c r="D344" s="11"/>
    </row>
    <row r="345" spans="3:4" ht="19.95" customHeight="1" x14ac:dyDescent="0.3">
      <c r="C345" s="11"/>
      <c r="D345" s="11"/>
    </row>
    <row r="346" spans="3:4" ht="19.95" customHeight="1" x14ac:dyDescent="0.3">
      <c r="C346" s="11"/>
      <c r="D346" s="11"/>
    </row>
    <row r="347" spans="3:4" ht="19.95" customHeight="1" x14ac:dyDescent="0.3">
      <c r="C347" s="11"/>
      <c r="D347" s="11"/>
    </row>
    <row r="348" spans="3:4" ht="19.95" customHeight="1" x14ac:dyDescent="0.3">
      <c r="C348" s="11"/>
      <c r="D348" s="11"/>
    </row>
    <row r="349" spans="3:4" ht="19.95" customHeight="1" x14ac:dyDescent="0.3">
      <c r="C349" s="11"/>
      <c r="D349" s="11"/>
    </row>
    <row r="350" spans="3:4" ht="19.95" customHeight="1" x14ac:dyDescent="0.3">
      <c r="C350" s="11"/>
      <c r="D350" s="11"/>
    </row>
    <row r="351" spans="3:4" ht="19.95" customHeight="1" x14ac:dyDescent="0.3">
      <c r="C351" s="11"/>
      <c r="D351" s="11"/>
    </row>
    <row r="352" spans="3:4" ht="19.95" customHeight="1" x14ac:dyDescent="0.3">
      <c r="C352" s="11"/>
      <c r="D352" s="11"/>
    </row>
    <row r="353" spans="3:4" ht="19.95" customHeight="1" x14ac:dyDescent="0.3">
      <c r="C353" s="11"/>
      <c r="D353" s="11"/>
    </row>
    <row r="354" spans="3:4" ht="19.95" customHeight="1" x14ac:dyDescent="0.3">
      <c r="C354" s="11"/>
      <c r="D354" s="11"/>
    </row>
    <row r="355" spans="3:4" ht="19.95" customHeight="1" x14ac:dyDescent="0.3">
      <c r="C355" s="11"/>
      <c r="D355" s="11"/>
    </row>
    <row r="356" spans="3:4" ht="19.95" customHeight="1" x14ac:dyDescent="0.3">
      <c r="C356" s="11"/>
      <c r="D356" s="11"/>
    </row>
    <row r="357" spans="3:4" ht="19.95" customHeight="1" x14ac:dyDescent="0.3">
      <c r="C357" s="11"/>
      <c r="D357" s="11"/>
    </row>
    <row r="358" spans="3:4" ht="19.95" customHeight="1" x14ac:dyDescent="0.3">
      <c r="C358" s="11"/>
      <c r="D358" s="11"/>
    </row>
    <row r="359" spans="3:4" ht="19.95" customHeight="1" x14ac:dyDescent="0.3">
      <c r="C359" s="11"/>
      <c r="D359" s="11"/>
    </row>
    <row r="360" spans="3:4" ht="19.95" customHeight="1" x14ac:dyDescent="0.3">
      <c r="C360" s="11"/>
      <c r="D360" s="11"/>
    </row>
    <row r="361" spans="3:4" ht="19.95" customHeight="1" x14ac:dyDescent="0.3">
      <c r="C361" s="11"/>
      <c r="D361" s="11"/>
    </row>
    <row r="362" spans="3:4" ht="19.95" customHeight="1" x14ac:dyDescent="0.3">
      <c r="C362" s="11"/>
      <c r="D362" s="11"/>
    </row>
    <row r="363" spans="3:4" ht="19.95" customHeight="1" x14ac:dyDescent="0.3">
      <c r="C363" s="11"/>
      <c r="D363" s="11"/>
    </row>
    <row r="364" spans="3:4" ht="19.95" customHeight="1" x14ac:dyDescent="0.3">
      <c r="C364" s="11"/>
      <c r="D364" s="11"/>
    </row>
    <row r="365" spans="3:4" ht="19.95" customHeight="1" x14ac:dyDescent="0.3">
      <c r="C365" s="11"/>
      <c r="D365" s="11"/>
    </row>
    <row r="366" spans="3:4" ht="19.95" customHeight="1" x14ac:dyDescent="0.3">
      <c r="C366" s="11"/>
      <c r="D366" s="11"/>
    </row>
    <row r="367" spans="3:4" ht="19.95" customHeight="1" x14ac:dyDescent="0.3">
      <c r="C367" s="11"/>
      <c r="D367" s="11"/>
    </row>
    <row r="368" spans="3:4" ht="19.95" customHeight="1" x14ac:dyDescent="0.3">
      <c r="C368" s="11"/>
      <c r="D368" s="11"/>
    </row>
    <row r="369" spans="3:4" ht="19.95" customHeight="1" x14ac:dyDescent="0.3">
      <c r="C369" s="11"/>
      <c r="D369" s="11"/>
    </row>
    <row r="370" spans="3:4" ht="19.95" customHeight="1" x14ac:dyDescent="0.3">
      <c r="C370" s="11"/>
      <c r="D370" s="11"/>
    </row>
    <row r="371" spans="3:4" ht="19.95" customHeight="1" x14ac:dyDescent="0.3">
      <c r="C371" s="11"/>
      <c r="D371" s="11"/>
    </row>
    <row r="372" spans="3:4" ht="19.95" customHeight="1" x14ac:dyDescent="0.3">
      <c r="C372" s="11"/>
      <c r="D372" s="11"/>
    </row>
    <row r="373" spans="3:4" ht="19.95" customHeight="1" x14ac:dyDescent="0.3">
      <c r="C373" s="11"/>
      <c r="D373" s="11"/>
    </row>
    <row r="374" spans="3:4" ht="19.95" customHeight="1" x14ac:dyDescent="0.3">
      <c r="C374" s="11"/>
      <c r="D374" s="11"/>
    </row>
    <row r="375" spans="3:4" ht="19.95" customHeight="1" x14ac:dyDescent="0.3">
      <c r="C375" s="11"/>
      <c r="D375" s="11"/>
    </row>
    <row r="376" spans="3:4" ht="19.95" customHeight="1" x14ac:dyDescent="0.3">
      <c r="C376" s="11"/>
      <c r="D376" s="11"/>
    </row>
    <row r="377" spans="3:4" ht="19.95" customHeight="1" x14ac:dyDescent="0.3">
      <c r="C377" s="11"/>
      <c r="D377" s="11"/>
    </row>
    <row r="378" spans="3:4" ht="19.95" customHeight="1" x14ac:dyDescent="0.3">
      <c r="C378" s="11"/>
      <c r="D378" s="11"/>
    </row>
    <row r="379" spans="3:4" ht="19.95" customHeight="1" x14ac:dyDescent="0.3">
      <c r="C379" s="11"/>
      <c r="D379" s="11"/>
    </row>
    <row r="380" spans="3:4" ht="19.95" customHeight="1" x14ac:dyDescent="0.3">
      <c r="C380" s="11"/>
      <c r="D380" s="11"/>
    </row>
    <row r="381" spans="3:4" ht="19.95" customHeight="1" x14ac:dyDescent="0.3">
      <c r="C381" s="11"/>
      <c r="D381" s="11"/>
    </row>
    <row r="382" spans="3:4" ht="19.95" customHeight="1" x14ac:dyDescent="0.3">
      <c r="C382" s="11"/>
      <c r="D382" s="11"/>
    </row>
    <row r="383" spans="3:4" ht="19.95" customHeight="1" x14ac:dyDescent="0.3">
      <c r="C383" s="11"/>
      <c r="D383" s="11"/>
    </row>
    <row r="384" spans="3:4" ht="19.95" customHeight="1" x14ac:dyDescent="0.3">
      <c r="C384" s="11"/>
      <c r="D384" s="11"/>
    </row>
    <row r="385" spans="3:4" ht="19.95" customHeight="1" x14ac:dyDescent="0.3">
      <c r="C385" s="11"/>
      <c r="D385" s="11"/>
    </row>
    <row r="386" spans="3:4" ht="19.95" customHeight="1" x14ac:dyDescent="0.3">
      <c r="C386" s="11"/>
      <c r="D386" s="11"/>
    </row>
    <row r="387" spans="3:4" ht="19.95" customHeight="1" x14ac:dyDescent="0.3">
      <c r="C387" s="11"/>
      <c r="D387" s="11"/>
    </row>
    <row r="388" spans="3:4" ht="19.95" customHeight="1" x14ac:dyDescent="0.3">
      <c r="C388" s="11"/>
      <c r="D388" s="11"/>
    </row>
    <row r="389" spans="3:4" ht="19.95" customHeight="1" x14ac:dyDescent="0.3">
      <c r="C389" s="11"/>
      <c r="D389" s="11"/>
    </row>
    <row r="390" spans="3:4" ht="19.95" customHeight="1" x14ac:dyDescent="0.3">
      <c r="C390" s="11"/>
      <c r="D390" s="11"/>
    </row>
    <row r="391" spans="3:4" ht="19.95" customHeight="1" x14ac:dyDescent="0.3">
      <c r="C391" s="11"/>
      <c r="D391" s="11"/>
    </row>
    <row r="392" spans="3:4" ht="19.95" customHeight="1" x14ac:dyDescent="0.3">
      <c r="C392" s="11"/>
      <c r="D392" s="11"/>
    </row>
    <row r="393" spans="3:4" ht="19.95" customHeight="1" x14ac:dyDescent="0.3">
      <c r="C393" s="11"/>
      <c r="D393" s="11"/>
    </row>
    <row r="394" spans="3:4" ht="19.95" customHeight="1" x14ac:dyDescent="0.3">
      <c r="C394" s="11"/>
      <c r="D394" s="11"/>
    </row>
    <row r="395" spans="3:4" ht="19.95" customHeight="1" x14ac:dyDescent="0.3">
      <c r="C395" s="11"/>
      <c r="D395" s="11"/>
    </row>
    <row r="396" spans="3:4" ht="19.95" customHeight="1" x14ac:dyDescent="0.3">
      <c r="C396" s="11"/>
      <c r="D396" s="11"/>
    </row>
    <row r="397" spans="3:4" ht="19.95" customHeight="1" x14ac:dyDescent="0.3">
      <c r="C397" s="11"/>
      <c r="D397" s="11"/>
    </row>
    <row r="398" spans="3:4" ht="19.95" customHeight="1" x14ac:dyDescent="0.3">
      <c r="C398" s="11"/>
      <c r="D398" s="11"/>
    </row>
    <row r="399" spans="3:4" ht="19.95" customHeight="1" x14ac:dyDescent="0.3">
      <c r="C399" s="11"/>
      <c r="D399" s="11"/>
    </row>
    <row r="400" spans="3:4" ht="19.95" customHeight="1" x14ac:dyDescent="0.3">
      <c r="C400" s="11"/>
      <c r="D400" s="11"/>
    </row>
    <row r="401" spans="3:4" ht="19.95" customHeight="1" x14ac:dyDescent="0.3">
      <c r="C401" s="11"/>
      <c r="D401" s="11"/>
    </row>
    <row r="402" spans="3:4" ht="19.95" customHeight="1" x14ac:dyDescent="0.3">
      <c r="C402" s="11"/>
      <c r="D402" s="11"/>
    </row>
    <row r="403" spans="3:4" ht="19.95" customHeight="1" x14ac:dyDescent="0.3">
      <c r="C403" s="11"/>
      <c r="D403" s="11"/>
    </row>
    <row r="404" spans="3:4" ht="19.95" customHeight="1" x14ac:dyDescent="0.3">
      <c r="C404" s="11"/>
      <c r="D404" s="11"/>
    </row>
    <row r="405" spans="3:4" ht="19.95" customHeight="1" x14ac:dyDescent="0.3">
      <c r="C405" s="11"/>
      <c r="D405" s="11"/>
    </row>
    <row r="406" spans="3:4" ht="19.95" customHeight="1" x14ac:dyDescent="0.3">
      <c r="C406" s="11"/>
      <c r="D406" s="11"/>
    </row>
    <row r="407" spans="3:4" ht="19.95" customHeight="1" x14ac:dyDescent="0.3">
      <c r="C407" s="11"/>
      <c r="D407" s="11"/>
    </row>
    <row r="408" spans="3:4" ht="19.95" customHeight="1" x14ac:dyDescent="0.3">
      <c r="C408" s="11"/>
      <c r="D408" s="11"/>
    </row>
    <row r="409" spans="3:4" ht="19.95" customHeight="1" x14ac:dyDescent="0.3">
      <c r="C409" s="11"/>
      <c r="D409" s="11"/>
    </row>
    <row r="410" spans="3:4" ht="19.95" customHeight="1" x14ac:dyDescent="0.3">
      <c r="C410" s="11"/>
      <c r="D410" s="11"/>
    </row>
    <row r="411" spans="3:4" ht="19.95" customHeight="1" x14ac:dyDescent="0.3">
      <c r="C411" s="11"/>
      <c r="D411" s="11"/>
    </row>
    <row r="412" spans="3:4" ht="19.95" customHeight="1" x14ac:dyDescent="0.3">
      <c r="C412" s="11"/>
      <c r="D412" s="11"/>
    </row>
    <row r="413" spans="3:4" ht="19.95" customHeight="1" x14ac:dyDescent="0.3">
      <c r="C413" s="11"/>
      <c r="D413" s="11"/>
    </row>
    <row r="414" spans="3:4" ht="19.95" customHeight="1" x14ac:dyDescent="0.3">
      <c r="C414" s="11"/>
      <c r="D414" s="11"/>
    </row>
    <row r="415" spans="3:4" ht="19.95" customHeight="1" x14ac:dyDescent="0.3">
      <c r="C415" s="11"/>
      <c r="D415" s="11"/>
    </row>
    <row r="416" spans="3:4" ht="19.95" customHeight="1" x14ac:dyDescent="0.3">
      <c r="C416" s="11"/>
      <c r="D416" s="11"/>
    </row>
    <row r="417" spans="3:4" ht="19.95" customHeight="1" x14ac:dyDescent="0.3">
      <c r="C417" s="11"/>
      <c r="D417" s="11"/>
    </row>
    <row r="418" spans="3:4" ht="19.95" customHeight="1" x14ac:dyDescent="0.3">
      <c r="C418" s="11"/>
      <c r="D418" s="11"/>
    </row>
    <row r="419" spans="3:4" ht="19.95" customHeight="1" x14ac:dyDescent="0.3">
      <c r="C419" s="11"/>
      <c r="D419" s="11"/>
    </row>
    <row r="420" spans="3:4" ht="19.95" customHeight="1" x14ac:dyDescent="0.3">
      <c r="C420" s="11"/>
      <c r="D420" s="11"/>
    </row>
    <row r="421" spans="3:4" ht="19.95" customHeight="1" x14ac:dyDescent="0.3">
      <c r="C421" s="11"/>
      <c r="D421" s="11"/>
    </row>
    <row r="422" spans="3:4" ht="19.95" customHeight="1" x14ac:dyDescent="0.3">
      <c r="C422" s="11"/>
      <c r="D422" s="11"/>
    </row>
    <row r="423" spans="3:4" ht="19.95" customHeight="1" x14ac:dyDescent="0.3">
      <c r="C423" s="11"/>
      <c r="D423" s="11"/>
    </row>
    <row r="424" spans="3:4" ht="19.95" customHeight="1" x14ac:dyDescent="0.3">
      <c r="C424" s="11"/>
      <c r="D424" s="11"/>
    </row>
    <row r="425" spans="3:4" ht="19.95" customHeight="1" x14ac:dyDescent="0.3">
      <c r="C425" s="11"/>
      <c r="D425" s="11"/>
    </row>
    <row r="426" spans="3:4" ht="19.95" customHeight="1" x14ac:dyDescent="0.3">
      <c r="C426" s="11"/>
      <c r="D426" s="11"/>
    </row>
    <row r="427" spans="3:4" ht="19.95" customHeight="1" x14ac:dyDescent="0.3">
      <c r="C427" s="11"/>
      <c r="D427" s="11"/>
    </row>
    <row r="428" spans="3:4" ht="19.95" customHeight="1" x14ac:dyDescent="0.3">
      <c r="C428" s="11"/>
      <c r="D428" s="11"/>
    </row>
    <row r="429" spans="3:4" ht="19.95" customHeight="1" x14ac:dyDescent="0.3">
      <c r="C429" s="11"/>
      <c r="D429" s="11"/>
    </row>
    <row r="430" spans="3:4" ht="19.95" customHeight="1" x14ac:dyDescent="0.3">
      <c r="C430" s="11"/>
      <c r="D430" s="11"/>
    </row>
    <row r="431" spans="3:4" ht="19.95" customHeight="1" x14ac:dyDescent="0.3">
      <c r="C431" s="11"/>
      <c r="D431" s="11"/>
    </row>
    <row r="432" spans="3:4" ht="19.95" customHeight="1" x14ac:dyDescent="0.3">
      <c r="C432" s="11"/>
      <c r="D432" s="11"/>
    </row>
    <row r="433" spans="3:4" ht="19.95" customHeight="1" x14ac:dyDescent="0.3">
      <c r="C433" s="11"/>
      <c r="D433" s="11"/>
    </row>
    <row r="434" spans="3:4" ht="19.95" customHeight="1" x14ac:dyDescent="0.3">
      <c r="C434" s="11"/>
      <c r="D434" s="11"/>
    </row>
    <row r="435" spans="3:4" ht="19.95" customHeight="1" x14ac:dyDescent="0.3">
      <c r="C435" s="11"/>
      <c r="D435" s="11"/>
    </row>
    <row r="436" spans="3:4" ht="19.95" customHeight="1" x14ac:dyDescent="0.3">
      <c r="C436" s="11"/>
      <c r="D436" s="11"/>
    </row>
    <row r="437" spans="3:4" ht="19.95" customHeight="1" x14ac:dyDescent="0.3">
      <c r="C437" s="11"/>
      <c r="D437" s="11"/>
    </row>
    <row r="438" spans="3:4" ht="19.95" customHeight="1" x14ac:dyDescent="0.3">
      <c r="C438" s="11"/>
      <c r="D438" s="11"/>
    </row>
    <row r="439" spans="3:4" ht="19.95" customHeight="1" x14ac:dyDescent="0.3">
      <c r="C439" s="11"/>
      <c r="D439" s="11"/>
    </row>
    <row r="440" spans="3:4" ht="19.95" customHeight="1" x14ac:dyDescent="0.3">
      <c r="C440" s="11"/>
      <c r="D440" s="11"/>
    </row>
    <row r="441" spans="3:4" ht="19.95" customHeight="1" x14ac:dyDescent="0.3">
      <c r="C441" s="11"/>
      <c r="D441" s="11"/>
    </row>
    <row r="442" spans="3:4" ht="19.95" customHeight="1" x14ac:dyDescent="0.3">
      <c r="C442" s="11"/>
      <c r="D442" s="11"/>
    </row>
    <row r="443" spans="3:4" ht="19.95" customHeight="1" x14ac:dyDescent="0.3">
      <c r="C443" s="11"/>
      <c r="D443" s="11"/>
    </row>
    <row r="444" spans="3:4" ht="19.95" customHeight="1" x14ac:dyDescent="0.3">
      <c r="C444" s="11"/>
      <c r="D444" s="11"/>
    </row>
    <row r="445" spans="3:4" ht="19.95" customHeight="1" x14ac:dyDescent="0.3">
      <c r="C445" s="11"/>
      <c r="D445" s="11"/>
    </row>
    <row r="446" spans="3:4" ht="19.95" customHeight="1" x14ac:dyDescent="0.3">
      <c r="C446" s="11"/>
      <c r="D446" s="11"/>
    </row>
    <row r="447" spans="3:4" ht="19.95" customHeight="1" x14ac:dyDescent="0.3">
      <c r="C447" s="11"/>
      <c r="D447" s="11"/>
    </row>
    <row r="448" spans="3:4" ht="19.95" customHeight="1" x14ac:dyDescent="0.3">
      <c r="C448" s="11"/>
      <c r="D448" s="11"/>
    </row>
    <row r="449" spans="3:4" ht="19.95" customHeight="1" x14ac:dyDescent="0.3">
      <c r="C449" s="11"/>
      <c r="D449" s="11"/>
    </row>
    <row r="450" spans="3:4" ht="19.95" customHeight="1" x14ac:dyDescent="0.3">
      <c r="C450" s="11"/>
      <c r="D450" s="11"/>
    </row>
    <row r="451" spans="3:4" ht="19.95" customHeight="1" x14ac:dyDescent="0.3">
      <c r="C451" s="11"/>
      <c r="D451" s="11"/>
    </row>
    <row r="452" spans="3:4" ht="19.95" customHeight="1" x14ac:dyDescent="0.3">
      <c r="C452" s="11"/>
      <c r="D452" s="11"/>
    </row>
    <row r="453" spans="3:4" ht="19.95" customHeight="1" x14ac:dyDescent="0.3">
      <c r="C453" s="11"/>
      <c r="D453" s="11"/>
    </row>
    <row r="454" spans="3:4" ht="19.95" customHeight="1" x14ac:dyDescent="0.3">
      <c r="C454" s="11"/>
      <c r="D454" s="11"/>
    </row>
    <row r="455" spans="3:4" ht="19.95" customHeight="1" x14ac:dyDescent="0.3">
      <c r="C455" s="11"/>
      <c r="D455" s="11"/>
    </row>
    <row r="456" spans="3:4" ht="19.95" customHeight="1" x14ac:dyDescent="0.3">
      <c r="C456" s="11"/>
      <c r="D456" s="11"/>
    </row>
    <row r="457" spans="3:4" ht="19.95" customHeight="1" x14ac:dyDescent="0.3">
      <c r="C457" s="11"/>
      <c r="D457" s="11"/>
    </row>
    <row r="458" spans="3:4" ht="19.95" customHeight="1" x14ac:dyDescent="0.3">
      <c r="C458" s="11"/>
      <c r="D458" s="11"/>
    </row>
    <row r="459" spans="3:4" ht="19.95" customHeight="1" x14ac:dyDescent="0.3">
      <c r="C459" s="11"/>
      <c r="D459" s="11"/>
    </row>
    <row r="460" spans="3:4" ht="19.95" customHeight="1" x14ac:dyDescent="0.3">
      <c r="C460" s="11"/>
      <c r="D460" s="11"/>
    </row>
    <row r="461" spans="3:4" ht="19.95" customHeight="1" x14ac:dyDescent="0.3">
      <c r="C461" s="11"/>
      <c r="D461" s="11"/>
    </row>
    <row r="462" spans="3:4" ht="19.95" customHeight="1" x14ac:dyDescent="0.3">
      <c r="C462" s="11"/>
      <c r="D462" s="11"/>
    </row>
    <row r="463" spans="3:4" ht="19.95" customHeight="1" x14ac:dyDescent="0.3">
      <c r="C463" s="11"/>
      <c r="D463" s="11"/>
    </row>
    <row r="464" spans="3:4" ht="19.95" customHeight="1" x14ac:dyDescent="0.3">
      <c r="C464" s="11"/>
      <c r="D464" s="11"/>
    </row>
    <row r="465" spans="3:4" ht="19.95" customHeight="1" x14ac:dyDescent="0.3">
      <c r="C465" s="11"/>
      <c r="D465" s="11"/>
    </row>
    <row r="466" spans="3:4" ht="19.95" customHeight="1" x14ac:dyDescent="0.3">
      <c r="C466" s="11"/>
      <c r="D466" s="11"/>
    </row>
    <row r="467" spans="3:4" ht="19.95" customHeight="1" x14ac:dyDescent="0.3">
      <c r="C467" s="11"/>
      <c r="D467" s="11"/>
    </row>
    <row r="468" spans="3:4" ht="19.95" customHeight="1" x14ac:dyDescent="0.3">
      <c r="C468" s="11"/>
      <c r="D468" s="11"/>
    </row>
    <row r="469" spans="3:4" ht="19.95" customHeight="1" x14ac:dyDescent="0.3">
      <c r="C469" s="11"/>
      <c r="D469" s="11"/>
    </row>
    <row r="470" spans="3:4" ht="19.95" customHeight="1" x14ac:dyDescent="0.3">
      <c r="C470" s="11"/>
      <c r="D470" s="11"/>
    </row>
    <row r="471" spans="3:4" ht="19.95" customHeight="1" x14ac:dyDescent="0.3">
      <c r="C471" s="11"/>
      <c r="D471" s="11"/>
    </row>
    <row r="472" spans="3:4" ht="19.95" customHeight="1" x14ac:dyDescent="0.3">
      <c r="C472" s="11"/>
      <c r="D472" s="11"/>
    </row>
    <row r="473" spans="3:4" ht="19.95" customHeight="1" x14ac:dyDescent="0.3">
      <c r="C473" s="11"/>
      <c r="D473" s="11"/>
    </row>
    <row r="474" spans="3:4" ht="19.95" customHeight="1" x14ac:dyDescent="0.3">
      <c r="C474" s="11"/>
      <c r="D474" s="11"/>
    </row>
    <row r="475" spans="3:4" ht="19.95" customHeight="1" x14ac:dyDescent="0.3">
      <c r="C475" s="11"/>
      <c r="D475" s="11"/>
    </row>
    <row r="476" spans="3:4" ht="19.95" customHeight="1" x14ac:dyDescent="0.3">
      <c r="C476" s="11"/>
      <c r="D476" s="11"/>
    </row>
    <row r="477" spans="3:4" ht="19.95" customHeight="1" x14ac:dyDescent="0.3">
      <c r="C477" s="11"/>
      <c r="D477" s="11"/>
    </row>
    <row r="478" spans="3:4" ht="19.95" customHeight="1" x14ac:dyDescent="0.3">
      <c r="C478" s="11"/>
      <c r="D478" s="11"/>
    </row>
    <row r="479" spans="3:4" ht="19.95" customHeight="1" x14ac:dyDescent="0.3">
      <c r="C479" s="11"/>
      <c r="D479" s="11"/>
    </row>
    <row r="480" spans="3:4" ht="19.95" customHeight="1" x14ac:dyDescent="0.3">
      <c r="C480" s="11"/>
      <c r="D480" s="11"/>
    </row>
    <row r="481" spans="3:4" ht="19.95" customHeight="1" x14ac:dyDescent="0.3">
      <c r="C481" s="11"/>
      <c r="D481" s="11"/>
    </row>
    <row r="482" spans="3:4" ht="19.95" customHeight="1" x14ac:dyDescent="0.3">
      <c r="C482" s="11"/>
      <c r="D482" s="11"/>
    </row>
    <row r="483" spans="3:4" ht="19.95" customHeight="1" x14ac:dyDescent="0.3">
      <c r="C483" s="11"/>
      <c r="D483" s="11"/>
    </row>
    <row r="484" spans="3:4" ht="19.95" customHeight="1" x14ac:dyDescent="0.3">
      <c r="C484" s="11"/>
      <c r="D484" s="11"/>
    </row>
    <row r="485" spans="3:4" ht="19.95" customHeight="1" x14ac:dyDescent="0.3">
      <c r="C485" s="11"/>
      <c r="D485" s="11"/>
    </row>
    <row r="486" spans="3:4" ht="19.95" customHeight="1" x14ac:dyDescent="0.3">
      <c r="C486" s="11"/>
      <c r="D486" s="11"/>
    </row>
    <row r="487" spans="3:4" ht="19.95" customHeight="1" x14ac:dyDescent="0.3">
      <c r="C487" s="11"/>
      <c r="D487" s="11"/>
    </row>
    <row r="488" spans="3:4" ht="19.95" customHeight="1" x14ac:dyDescent="0.3">
      <c r="C488" s="11"/>
      <c r="D488" s="11"/>
    </row>
    <row r="489" spans="3:4" ht="19.95" customHeight="1" x14ac:dyDescent="0.3">
      <c r="C489" s="11"/>
      <c r="D489" s="11"/>
    </row>
    <row r="490" spans="3:4" ht="19.95" customHeight="1" x14ac:dyDescent="0.3">
      <c r="C490" s="11"/>
      <c r="D490" s="11"/>
    </row>
    <row r="491" spans="3:4" ht="19.95" customHeight="1" x14ac:dyDescent="0.3">
      <c r="C491" s="11"/>
      <c r="D491" s="11"/>
    </row>
    <row r="492" spans="3:4" ht="19.95" customHeight="1" x14ac:dyDescent="0.3">
      <c r="C492" s="11"/>
      <c r="D492" s="11"/>
    </row>
    <row r="493" spans="3:4" ht="19.95" customHeight="1" x14ac:dyDescent="0.3">
      <c r="C493" s="11"/>
      <c r="D493" s="11"/>
    </row>
    <row r="494" spans="3:4" ht="19.95" customHeight="1" x14ac:dyDescent="0.3">
      <c r="C494" s="11"/>
      <c r="D494" s="11"/>
    </row>
    <row r="495" spans="3:4" ht="19.95" customHeight="1" x14ac:dyDescent="0.3">
      <c r="C495" s="11"/>
      <c r="D495" s="11"/>
    </row>
    <row r="496" spans="3:4" ht="19.95" customHeight="1" x14ac:dyDescent="0.3">
      <c r="C496" s="11"/>
      <c r="D496" s="11"/>
    </row>
    <row r="497" spans="3:4" ht="19.95" customHeight="1" x14ac:dyDescent="0.3">
      <c r="C497" s="11"/>
      <c r="D497" s="11"/>
    </row>
    <row r="498" spans="3:4" ht="19.95" customHeight="1" x14ac:dyDescent="0.3">
      <c r="C498" s="11"/>
      <c r="D498" s="11"/>
    </row>
  </sheetData>
  <mergeCells count="6">
    <mergeCell ref="C18:D20"/>
    <mergeCell ref="P3:Q5"/>
    <mergeCell ref="H13:I13"/>
    <mergeCell ref="C8:D10"/>
    <mergeCell ref="C13:D15"/>
    <mergeCell ref="B3:D5"/>
  </mergeCells>
  <conditionalFormatting sqref="P3:Q5">
    <cfRule type="containsText" dxfId="3" priority="1" operator="containsText" text="Obesity">
      <formula>NOT(ISERROR(SEARCH("Obesity",P3)))</formula>
    </cfRule>
    <cfRule type="containsText" dxfId="2" priority="2" operator="containsText" text="Overweight">
      <formula>NOT(ISERROR(SEARCH("Overweight",P3)))</formula>
    </cfRule>
    <cfRule type="cellIs" dxfId="1" priority="3" operator="equal">
      <formula>"Normal weight"</formula>
    </cfRule>
    <cfRule type="containsText" dxfId="0" priority="4" operator="containsText" text="Underweight">
      <formula>NOT(ISERROR(SEARCH("Underweight",P3)))</formula>
    </cfRule>
  </conditionalFormatting>
  <hyperlinks>
    <hyperlink ref="B3:D5" location="instruction!A1" display="INSTRUCTION" xr:uid="{20404085-F639-4A76-A6BE-B816CCF6D974}"/>
    <hyperlink ref="C13:D15" location="'weight tracker'!A1" display="WEIGHT TRACKER" xr:uid="{3FC89EDA-A662-4394-8B81-0EC06F4D6BAB}"/>
    <hyperlink ref="C18:D20" location="'food database'!A1" display="FOOD DATABASE" xr:uid="{9547C96C-14F9-43F1-8F11-3EF8DB7E6EB3}"/>
    <hyperlink ref="C8:D10" location="calculator!A1" display="CALCULATOR" xr:uid="{619AA388-52B3-4215-9964-F5F9B99BC94B}"/>
  </hyperlinks>
  <pageMargins left="0.7" right="0.7" top="0.75" bottom="0.75" header="0.3" footer="0.3"/>
  <pageSetup scale="47" orientation="portrait" horizontalDpi="300" verticalDpi="300" r:id="rId1"/>
  <rowBreaks count="1" manualBreakCount="1">
    <brk id="21" max="18" man="1"/>
  </rowBreaks>
  <ignoredErrors>
    <ignoredError sqref="N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>
                <anchor moveWithCells="1">
                  <from>
                    <xdr:col>7</xdr:col>
                    <xdr:colOff>60960</xdr:colOff>
                    <xdr:row>3</xdr:row>
                    <xdr:rowOff>228600</xdr:rowOff>
                  </from>
                  <to>
                    <xdr:col>7</xdr:col>
                    <xdr:colOff>792480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7</xdr:col>
                    <xdr:colOff>891540</xdr:colOff>
                    <xdr:row>3</xdr:row>
                    <xdr:rowOff>228600</xdr:rowOff>
                  </from>
                  <to>
                    <xdr:col>7</xdr:col>
                    <xdr:colOff>1623060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Spinner 11">
              <controlPr defaultSize="0" autoPict="0">
                <anchor moveWithCells="1" sizeWithCells="1">
                  <from>
                    <xdr:col>12</xdr:col>
                    <xdr:colOff>1211580</xdr:colOff>
                    <xdr:row>15</xdr:row>
                    <xdr:rowOff>243840</xdr:rowOff>
                  </from>
                  <to>
                    <xdr:col>12</xdr:col>
                    <xdr:colOff>1470660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7" name="Spinner 26">
              <controlPr defaultSize="0" autoPict="0">
                <anchor moveWithCells="1" sizeWithCells="1">
                  <from>
                    <xdr:col>12</xdr:col>
                    <xdr:colOff>1219200</xdr:colOff>
                    <xdr:row>13</xdr:row>
                    <xdr:rowOff>243840</xdr:rowOff>
                  </from>
                  <to>
                    <xdr:col>12</xdr:col>
                    <xdr:colOff>1470660</xdr:colOff>
                    <xdr:row>14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062161-80E3-49BD-848F-D1BC0BFC842A}">
          <x14:formula1>
            <xm:f>settings!$B$3:$B$7</xm:f>
          </x14:formula1>
          <xm:sqref>H13:I13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F0379-FE02-483E-A8A2-8E9B86A890BD}">
  <sheetPr codeName="Sheet7"/>
  <dimension ref="B2:T25"/>
  <sheetViews>
    <sheetView zoomScaleNormal="100" workbookViewId="0">
      <selection activeCell="O10" sqref="O10:O12"/>
    </sheetView>
  </sheetViews>
  <sheetFormatPr defaultColWidth="7" defaultRowHeight="10.199999999999999" x14ac:dyDescent="0.2"/>
  <cols>
    <col min="1" max="1" width="1.77734375" style="43" customWidth="1"/>
    <col min="2" max="2" width="14.33203125" style="43" customWidth="1"/>
    <col min="3" max="3" width="7.33203125" style="43" bestFit="1" customWidth="1"/>
    <col min="4" max="4" width="1.77734375" style="43" customWidth="1"/>
    <col min="5" max="5" width="5.21875" style="43" bestFit="1" customWidth="1"/>
    <col min="6" max="6" width="4.77734375" style="43" bestFit="1" customWidth="1"/>
    <col min="7" max="7" width="3.109375" style="43" bestFit="1" customWidth="1"/>
    <col min="8" max="8" width="5.33203125" style="43" bestFit="1" customWidth="1"/>
    <col min="9" max="9" width="8.88671875" style="43" bestFit="1" customWidth="1"/>
    <col min="10" max="10" width="1.77734375" style="43" customWidth="1"/>
    <col min="11" max="11" width="12.88671875" style="43" bestFit="1" customWidth="1"/>
    <col min="12" max="12" width="7.5546875" style="43" bestFit="1" customWidth="1"/>
    <col min="13" max="13" width="4.6640625" style="43" bestFit="1" customWidth="1"/>
    <col min="14" max="14" width="12.21875" style="43" bestFit="1" customWidth="1"/>
    <col min="15" max="15" width="8.21875" style="43" bestFit="1" customWidth="1"/>
    <col min="16" max="16" width="5.21875" style="43" bestFit="1" customWidth="1"/>
    <col min="17" max="17" width="12" style="43" bestFit="1" customWidth="1"/>
    <col min="18" max="18" width="1.77734375" style="43" customWidth="1"/>
    <col min="19" max="19" width="10.21875" style="43" customWidth="1"/>
    <col min="20" max="20" width="3.44140625" style="43" bestFit="1" customWidth="1"/>
    <col min="21" max="16384" width="7" style="43"/>
  </cols>
  <sheetData>
    <row r="2" spans="2:20" ht="20.399999999999999" x14ac:dyDescent="0.2">
      <c r="B2" s="42" t="s">
        <v>107</v>
      </c>
      <c r="C2" s="42" t="s">
        <v>112</v>
      </c>
      <c r="D2" s="42"/>
      <c r="E2" s="42" t="s">
        <v>0</v>
      </c>
      <c r="F2" s="42" t="s">
        <v>106</v>
      </c>
      <c r="G2" s="42" t="s">
        <v>104</v>
      </c>
      <c r="H2" s="42" t="s">
        <v>105</v>
      </c>
      <c r="I2" s="42" t="s">
        <v>113</v>
      </c>
      <c r="J2" s="42"/>
      <c r="K2" s="42" t="s">
        <v>114</v>
      </c>
      <c r="L2" s="42" t="s">
        <v>119</v>
      </c>
      <c r="M2" s="42" t="s">
        <v>120</v>
      </c>
      <c r="N2" s="42" t="s">
        <v>123</v>
      </c>
      <c r="O2" s="42" t="s">
        <v>122</v>
      </c>
      <c r="P2" s="42" t="s">
        <v>121</v>
      </c>
      <c r="Q2" s="42" t="s">
        <v>124</v>
      </c>
      <c r="R2" s="42"/>
      <c r="S2" s="42" t="s">
        <v>130</v>
      </c>
      <c r="T2" s="42" t="s">
        <v>129</v>
      </c>
    </row>
    <row r="3" spans="2:20" x14ac:dyDescent="0.2">
      <c r="B3" s="42" t="s">
        <v>108</v>
      </c>
      <c r="C3" s="42">
        <v>1</v>
      </c>
      <c r="D3" s="42"/>
      <c r="E3" s="42">
        <f>instruction!H9</f>
        <v>102</v>
      </c>
      <c r="F3" s="42">
        <f>instruction!H7</f>
        <v>190</v>
      </c>
      <c r="G3" s="42">
        <f>instruction!H3</f>
        <v>26</v>
      </c>
      <c r="H3" s="42">
        <v>1</v>
      </c>
      <c r="I3" s="42">
        <f>IF(H3=1,ROUND(10*$E$3+6.25*$F$3-5*$G$3+5,1),ROUND(10*$E$3+6.25*$F$3-5*$G$3-161,1))</f>
        <v>2082.5</v>
      </c>
      <c r="J3" s="42"/>
      <c r="K3" s="42">
        <f>IFERROR($I$3*VLOOKUP(instruction!$H$13,settings!$B$3:$C$7,2,0),"")</f>
        <v>3332</v>
      </c>
      <c r="L3" s="42">
        <f>ROUND(0.0025*$E$3,2)</f>
        <v>0.26</v>
      </c>
      <c r="M3" s="42">
        <f>ROUND(0.005*$E$3,2)</f>
        <v>0.51</v>
      </c>
      <c r="N3" s="42">
        <f>ROUND(0.01*$E$3,2)</f>
        <v>1.02</v>
      </c>
      <c r="O3" s="42">
        <f>ROUND(0.0025*$E$3,2)</f>
        <v>0.26</v>
      </c>
      <c r="P3" s="42">
        <f>ROUND(0.005*$E$3,2)</f>
        <v>0.51</v>
      </c>
      <c r="Q3" s="42">
        <f>ROUND(0.01*$E$3,2)</f>
        <v>1.02</v>
      </c>
      <c r="R3" s="42"/>
      <c r="S3" s="44" t="s">
        <v>132</v>
      </c>
      <c r="T3" s="42">
        <v>18.5</v>
      </c>
    </row>
    <row r="4" spans="2:20" ht="20.399999999999999" x14ac:dyDescent="0.2">
      <c r="B4" s="42" t="s">
        <v>109</v>
      </c>
      <c r="C4" s="42">
        <v>1.2</v>
      </c>
      <c r="D4" s="42"/>
      <c r="E4" s="99" t="s">
        <v>146</v>
      </c>
      <c r="F4" s="99"/>
      <c r="G4" s="99"/>
      <c r="H4" s="42">
        <f>IF(H3=2,78,94)</f>
        <v>94</v>
      </c>
      <c r="I4" s="42"/>
      <c r="J4" s="42"/>
      <c r="K4" s="42"/>
      <c r="L4" s="42">
        <f t="shared" ref="L4:Q4" si="0">ROUND((L3*3500/0.45)/7,1)</f>
        <v>288.89999999999998</v>
      </c>
      <c r="M4" s="42">
        <f t="shared" si="0"/>
        <v>566.70000000000005</v>
      </c>
      <c r="N4" s="42">
        <f t="shared" si="0"/>
        <v>1133.3</v>
      </c>
      <c r="O4" s="42">
        <f t="shared" si="0"/>
        <v>288.89999999999998</v>
      </c>
      <c r="P4" s="42">
        <f t="shared" si="0"/>
        <v>566.70000000000005</v>
      </c>
      <c r="Q4" s="42">
        <f t="shared" si="0"/>
        <v>1133.3</v>
      </c>
      <c r="R4" s="42"/>
      <c r="S4" s="44" t="s">
        <v>133</v>
      </c>
      <c r="T4" s="42">
        <v>24.9</v>
      </c>
    </row>
    <row r="5" spans="2:20" ht="20.399999999999999" x14ac:dyDescent="0.2">
      <c r="B5" s="42" t="s">
        <v>127</v>
      </c>
      <c r="C5" s="42">
        <v>1.4</v>
      </c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4" t="s">
        <v>142</v>
      </c>
      <c r="T5" s="42">
        <v>29.9</v>
      </c>
    </row>
    <row r="6" spans="2:20" ht="20.399999999999999" x14ac:dyDescent="0.2">
      <c r="B6" s="42" t="s">
        <v>110</v>
      </c>
      <c r="C6" s="42">
        <v>1.6</v>
      </c>
      <c r="D6" s="42"/>
      <c r="E6" s="42" t="s">
        <v>2</v>
      </c>
      <c r="F6" s="42" t="s">
        <v>144</v>
      </c>
      <c r="G6" s="42"/>
      <c r="H6" s="42" t="s">
        <v>4</v>
      </c>
      <c r="I6" s="42" t="s">
        <v>144</v>
      </c>
      <c r="J6" s="42"/>
      <c r="K6" s="42" t="s">
        <v>129</v>
      </c>
      <c r="L6" s="42">
        <f>IFERROR(ROUND(E3/(F3*0.01)^2,1),"")</f>
        <v>28.3</v>
      </c>
      <c r="M6" s="42"/>
      <c r="N6" s="98" t="str">
        <f>IF(L6="","",IF(AND(L6&gt;24.9,instruction!H11&gt;0,instruction!H11&lt;settings!H4),"Normal weight",S10))</f>
        <v>Normal weight</v>
      </c>
      <c r="O6" s="98"/>
      <c r="P6" s="42"/>
      <c r="Q6" s="42"/>
      <c r="R6" s="42"/>
      <c r="S6" s="44" t="s">
        <v>134</v>
      </c>
      <c r="T6" s="42">
        <v>34.9</v>
      </c>
    </row>
    <row r="7" spans="2:20" ht="30.6" x14ac:dyDescent="0.2">
      <c r="B7" s="42" t="s">
        <v>111</v>
      </c>
      <c r="C7" s="42">
        <v>1.8</v>
      </c>
      <c r="D7" s="42"/>
      <c r="E7" s="42">
        <v>1</v>
      </c>
      <c r="F7" s="42">
        <v>1.55</v>
      </c>
      <c r="G7" s="42"/>
      <c r="H7" s="42">
        <v>1</v>
      </c>
      <c r="I7" s="42">
        <v>0.65</v>
      </c>
      <c r="J7" s="42"/>
      <c r="K7" s="42"/>
      <c r="L7" s="42"/>
      <c r="M7" s="42"/>
      <c r="N7" s="98"/>
      <c r="O7" s="98"/>
      <c r="P7" s="42"/>
      <c r="Q7" s="42"/>
      <c r="R7" s="42"/>
      <c r="S7" s="44" t="s">
        <v>135</v>
      </c>
      <c r="T7" s="42">
        <v>39.9</v>
      </c>
    </row>
    <row r="8" spans="2:20" x14ac:dyDescent="0.2">
      <c r="B8" s="42"/>
      <c r="C8" s="42"/>
      <c r="D8" s="42"/>
      <c r="E8" s="42">
        <v>2</v>
      </c>
      <c r="F8" s="42">
        <v>1.6</v>
      </c>
      <c r="G8" s="42"/>
      <c r="H8" s="42">
        <v>2</v>
      </c>
      <c r="I8" s="42">
        <v>0.7</v>
      </c>
      <c r="J8" s="42"/>
      <c r="K8" s="42" t="s">
        <v>128</v>
      </c>
      <c r="L8" s="42">
        <f>IFERROR($I$3*VLOOKUP(instruction!$H$13,settings!$B$3:$C$7,2,0),"")</f>
        <v>3332</v>
      </c>
      <c r="M8" s="42"/>
      <c r="N8" s="98"/>
      <c r="O8" s="98"/>
      <c r="P8" s="42"/>
      <c r="Q8" s="42"/>
      <c r="R8" s="42"/>
      <c r="S8" s="44" t="s">
        <v>136</v>
      </c>
      <c r="T8" s="45" t="s">
        <v>131</v>
      </c>
    </row>
    <row r="9" spans="2:20" x14ac:dyDescent="0.2">
      <c r="B9" s="42"/>
      <c r="C9" s="42"/>
      <c r="D9" s="42"/>
      <c r="E9" s="42">
        <v>3</v>
      </c>
      <c r="F9" s="42">
        <v>1.65</v>
      </c>
      <c r="G9" s="42"/>
      <c r="H9" s="42">
        <v>3</v>
      </c>
      <c r="I9" s="42">
        <v>0.75</v>
      </c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2:20" x14ac:dyDescent="0.2">
      <c r="B10" s="44"/>
      <c r="C10" s="42"/>
      <c r="D10" s="42"/>
      <c r="E10" s="42">
        <v>4</v>
      </c>
      <c r="F10" s="42">
        <v>1.7</v>
      </c>
      <c r="G10" s="42"/>
      <c r="H10" s="42">
        <v>4</v>
      </c>
      <c r="I10" s="42">
        <v>0.8</v>
      </c>
      <c r="J10" s="42"/>
      <c r="K10" s="42" t="s">
        <v>119</v>
      </c>
      <c r="L10" s="42">
        <f>IFERROR($K$3-$L$4,"")</f>
        <v>3043.1</v>
      </c>
      <c r="M10" s="42"/>
      <c r="N10" s="42" t="s">
        <v>122</v>
      </c>
      <c r="O10" s="42">
        <f>IFERROR($K$3+$O$4,"")</f>
        <v>3620.9</v>
      </c>
      <c r="P10" s="42"/>
      <c r="Q10" s="42"/>
      <c r="R10" s="42"/>
      <c r="S10" s="44" t="str">
        <f>IF($L$6&lt;18.5,"Underweight",IF($L$6&lt;24.9,"Normal weight",IF($L$6&lt;29.9,"Overweight",IF($L$6&lt;34.9,"Obesity class 1",IF($L$6&lt;39.9,"Obesity class 2",IF($L$6&gt;=40,"Obesity class 3",""))))))</f>
        <v>Overweight</v>
      </c>
      <c r="T10" s="42" t="s">
        <v>129</v>
      </c>
    </row>
    <row r="11" spans="2:20" x14ac:dyDescent="0.2">
      <c r="B11" s="44"/>
      <c r="C11" s="42"/>
      <c r="D11" s="42"/>
      <c r="E11" s="42">
        <v>5</v>
      </c>
      <c r="F11" s="42">
        <v>1.75</v>
      </c>
      <c r="G11" s="42"/>
      <c r="H11" s="42">
        <v>5</v>
      </c>
      <c r="I11" s="42">
        <v>0.85</v>
      </c>
      <c r="J11" s="42"/>
      <c r="K11" s="42" t="s">
        <v>120</v>
      </c>
      <c r="L11" s="42">
        <f>IFERROR($K$3-$M$4,"")</f>
        <v>2765.3</v>
      </c>
      <c r="M11" s="42"/>
      <c r="N11" s="42" t="s">
        <v>121</v>
      </c>
      <c r="O11" s="42">
        <f>IFERROR($K$3+$P$4,"")</f>
        <v>3898.7</v>
      </c>
      <c r="P11" s="42"/>
      <c r="Q11" s="46"/>
      <c r="R11" s="46"/>
      <c r="S11" s="42"/>
      <c r="T11" s="42"/>
    </row>
    <row r="12" spans="2:20" x14ac:dyDescent="0.2">
      <c r="B12" s="44"/>
      <c r="C12" s="42"/>
      <c r="D12" s="42"/>
      <c r="E12" s="42">
        <v>6</v>
      </c>
      <c r="F12" s="42">
        <v>1.8</v>
      </c>
      <c r="G12" s="42"/>
      <c r="H12" s="42">
        <v>6</v>
      </c>
      <c r="I12" s="42">
        <v>0.9</v>
      </c>
      <c r="J12" s="42"/>
      <c r="K12" s="42" t="s">
        <v>123</v>
      </c>
      <c r="L12" s="42">
        <f>IFERROR($K$3-$N$4,"")</f>
        <v>2198.6999999999998</v>
      </c>
      <c r="M12" s="42"/>
      <c r="N12" s="42" t="s">
        <v>124</v>
      </c>
      <c r="O12" s="42">
        <f>IFERROR($K$3+$Q$4,"")</f>
        <v>4465.3</v>
      </c>
      <c r="P12" s="42"/>
      <c r="Q12" s="46"/>
      <c r="R12" s="46"/>
      <c r="S12" s="42"/>
      <c r="T12" s="46"/>
    </row>
    <row r="13" spans="2:20" x14ac:dyDescent="0.2">
      <c r="B13" s="42"/>
      <c r="C13" s="42"/>
      <c r="D13" s="42"/>
      <c r="E13" s="42">
        <v>7</v>
      </c>
      <c r="F13" s="42">
        <v>1.85</v>
      </c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2:20" x14ac:dyDescent="0.2">
      <c r="B14" s="42"/>
      <c r="C14" s="42"/>
      <c r="D14" s="42"/>
      <c r="E14" s="42">
        <v>8</v>
      </c>
      <c r="F14" s="42">
        <v>1.9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2:20" x14ac:dyDescent="0.2">
      <c r="B15" s="42"/>
      <c r="C15" s="42"/>
      <c r="D15" s="42"/>
      <c r="E15" s="42">
        <v>9</v>
      </c>
      <c r="F15" s="42">
        <v>1.95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2:20" x14ac:dyDescent="0.2">
      <c r="B16" s="42"/>
      <c r="C16" s="42"/>
      <c r="D16" s="42"/>
      <c r="E16" s="42">
        <v>10</v>
      </c>
      <c r="F16" s="42">
        <v>2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2:20" x14ac:dyDescent="0.2">
      <c r="B17" s="42"/>
      <c r="C17" s="42"/>
      <c r="D17" s="42"/>
      <c r="E17" s="42">
        <v>11</v>
      </c>
      <c r="F17" s="42">
        <v>2.0499999999999998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2:20" x14ac:dyDescent="0.2">
      <c r="B18" s="42"/>
      <c r="C18" s="42"/>
      <c r="D18" s="42"/>
      <c r="E18" s="42">
        <v>12</v>
      </c>
      <c r="F18" s="42">
        <v>2.1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2:20" x14ac:dyDescent="0.2">
      <c r="B19" s="42"/>
      <c r="C19" s="42"/>
      <c r="D19" s="42"/>
      <c r="E19" s="42">
        <v>13</v>
      </c>
      <c r="F19" s="42">
        <v>2.15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2:20" x14ac:dyDescent="0.2">
      <c r="B20" s="42"/>
      <c r="C20" s="42"/>
      <c r="D20" s="42"/>
      <c r="E20" s="42">
        <v>14</v>
      </c>
      <c r="F20" s="42">
        <v>2.2000000000000002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>
        <v>4</v>
      </c>
    </row>
    <row r="21" spans="2:20" x14ac:dyDescent="0.2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 t="s">
        <v>150</v>
      </c>
    </row>
    <row r="22" spans="2:20" x14ac:dyDescent="0.2">
      <c r="B22" s="42"/>
      <c r="C22" s="42"/>
      <c r="D22" s="42"/>
      <c r="E22" s="42">
        <v>6</v>
      </c>
      <c r="F22" s="42">
        <f>VLOOKUP(E22,E7:F20,2,0)</f>
        <v>1.8</v>
      </c>
      <c r="G22" s="42"/>
      <c r="H22" s="42">
        <v>6</v>
      </c>
      <c r="I22" s="42">
        <f>VLOOKUP(H22,H7:I12,2,0)</f>
        <v>0.9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 t="s">
        <v>151</v>
      </c>
    </row>
    <row r="24" spans="2:20" x14ac:dyDescent="0.2">
      <c r="C24" s="47"/>
    </row>
    <row r="25" spans="2:20" x14ac:dyDescent="0.2">
      <c r="C25" s="47"/>
    </row>
  </sheetData>
  <mergeCells count="2">
    <mergeCell ref="N6:O8"/>
    <mergeCell ref="E4:G4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calculator</vt:lpstr>
      <vt:lpstr>food database</vt:lpstr>
      <vt:lpstr>weight tracker</vt:lpstr>
      <vt:lpstr>instruction</vt:lpstr>
      <vt:lpstr>settings</vt:lpstr>
      <vt:lpstr>calculator!Print_Area</vt:lpstr>
      <vt:lpstr>instruction!Print_Area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cp:lastPrinted>2021-12-27T20:40:59Z</cp:lastPrinted>
  <dcterms:created xsi:type="dcterms:W3CDTF">2015-06-05T18:17:20Z</dcterms:created>
  <dcterms:modified xsi:type="dcterms:W3CDTF">2023-01-17T16:44:40Z</dcterms:modified>
</cp:coreProperties>
</file>
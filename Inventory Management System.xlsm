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D:\Munca\Excel portofolio\lukas_amboora\"/>
    </mc:Choice>
  </mc:AlternateContent>
  <xr:revisionPtr revIDLastSave="0" documentId="13_ncr:1_{F61FE76D-2BA9-4EDB-BC9A-934757F3D865}" xr6:coauthVersionLast="47" xr6:coauthVersionMax="47" xr10:uidLastSave="{00000000-0000-0000-0000-000000000000}"/>
  <bookViews>
    <workbookView xWindow="-108" yWindow="-108" windowWidth="23256" windowHeight="12576" activeTab="2" xr2:uid="{00000000-000D-0000-FFFF-FFFF00000000}"/>
  </bookViews>
  <sheets>
    <sheet name="Data entry" sheetId="1" r:id="rId1"/>
    <sheet name="Stocks sheet" sheetId="3" r:id="rId2"/>
    <sheet name="Dashboard" sheetId="4" r:id="rId3"/>
    <sheet name="Settings" sheetId="2" r:id="rId4"/>
  </sheets>
  <definedNames>
    <definedName name="_xlnm._FilterDatabase" localSheetId="0" hidden="1">'Data entry'!$C$2:$M$2</definedName>
    <definedName name="_xlnm._FilterDatabase" localSheetId="1" hidden="1">'Stocks sheet'!$C$2:$N$2</definedName>
    <definedName name="Slicer_Platform_names">#N/A</definedName>
    <definedName name="Slicer_Product_names">#N/A</definedName>
    <definedName name="Slicer_Stock_status">#N/A</definedName>
  </definedNames>
  <calcPr calcId="191029"/>
  <pivotCaches>
    <pivotCache cacheId="5"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W9" i="3" l="1"/>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3" i="3"/>
  <c r="T8" i="3"/>
  <c r="V8" i="3" s="1"/>
  <c r="W8" i="3" s="1"/>
  <c r="T9" i="3"/>
  <c r="V9" i="3" s="1"/>
  <c r="T10" i="3"/>
  <c r="V10" i="3" s="1"/>
  <c r="T11" i="3"/>
  <c r="V11" i="3" s="1"/>
  <c r="T12" i="3"/>
  <c r="V12" i="3" s="1"/>
  <c r="T13" i="3"/>
  <c r="V13" i="3" s="1"/>
  <c r="T14" i="3"/>
  <c r="V14" i="3" s="1"/>
  <c r="T15" i="3"/>
  <c r="V15" i="3" s="1"/>
  <c r="T16" i="3"/>
  <c r="T17" i="3"/>
  <c r="V17" i="3" s="1"/>
  <c r="T18" i="3"/>
  <c r="V18" i="3" s="1"/>
  <c r="T19" i="3"/>
  <c r="V19" i="3" s="1"/>
  <c r="T20" i="3"/>
  <c r="V20" i="3" s="1"/>
  <c r="T21" i="3"/>
  <c r="V21" i="3" s="1"/>
  <c r="T22" i="3"/>
  <c r="V22" i="3" s="1"/>
  <c r="T23" i="3"/>
  <c r="V23" i="3" s="1"/>
  <c r="T24" i="3"/>
  <c r="V24" i="3" s="1"/>
  <c r="T25" i="3"/>
  <c r="T26" i="3"/>
  <c r="V26" i="3" s="1"/>
  <c r="T27" i="3"/>
  <c r="T28" i="3"/>
  <c r="V28" i="3" s="1"/>
  <c r="T29" i="3"/>
  <c r="V29" i="3" s="1"/>
  <c r="T30" i="3"/>
  <c r="V30" i="3" s="1"/>
  <c r="T31" i="3"/>
  <c r="V31" i="3" s="1"/>
  <c r="T32" i="3"/>
  <c r="V32" i="3" s="1"/>
  <c r="T33" i="3"/>
  <c r="V33" i="3" s="1"/>
  <c r="T34" i="3"/>
  <c r="V34" i="3" s="1"/>
  <c r="T35" i="3"/>
  <c r="V35" i="3" s="1"/>
  <c r="T36" i="3"/>
  <c r="V36" i="3" s="1"/>
  <c r="T37" i="3"/>
  <c r="V37" i="3" s="1"/>
  <c r="T38" i="3"/>
  <c r="V38" i="3" s="1"/>
  <c r="T39" i="3"/>
  <c r="V39" i="3" s="1"/>
  <c r="T40" i="3"/>
  <c r="T41" i="3"/>
  <c r="V41" i="3" s="1"/>
  <c r="T42" i="3"/>
  <c r="V42" i="3" s="1"/>
  <c r="T43" i="3"/>
  <c r="V43" i="3" s="1"/>
  <c r="T44" i="3"/>
  <c r="V44" i="3" s="1"/>
  <c r="T45" i="3"/>
  <c r="V45" i="3" s="1"/>
  <c r="T46" i="3"/>
  <c r="V46" i="3" s="1"/>
  <c r="T47" i="3"/>
  <c r="V47" i="3" s="1"/>
  <c r="T48" i="3"/>
  <c r="V48" i="3" s="1"/>
  <c r="T49" i="3"/>
  <c r="V49" i="3" s="1"/>
  <c r="T50" i="3"/>
  <c r="V50" i="3" s="1"/>
  <c r="T51" i="3"/>
  <c r="V51" i="3" s="1"/>
  <c r="T52" i="3"/>
  <c r="V52" i="3" s="1"/>
  <c r="T53" i="3"/>
  <c r="V53" i="3" s="1"/>
  <c r="T54" i="3"/>
  <c r="V54" i="3" s="1"/>
  <c r="T55" i="3"/>
  <c r="V55" i="3" s="1"/>
  <c r="T56" i="3"/>
  <c r="V56" i="3" s="1"/>
  <c r="T57" i="3"/>
  <c r="V57" i="3" s="1"/>
  <c r="T58" i="3"/>
  <c r="V58" i="3" s="1"/>
  <c r="T59" i="3"/>
  <c r="V59" i="3" s="1"/>
  <c r="T60" i="3"/>
  <c r="V60" i="3" s="1"/>
  <c r="T61" i="3"/>
  <c r="V61" i="3" s="1"/>
  <c r="T62" i="3"/>
  <c r="V62" i="3" s="1"/>
  <c r="T63" i="3"/>
  <c r="V63" i="3" s="1"/>
  <c r="T64" i="3"/>
  <c r="T65" i="3"/>
  <c r="V65" i="3" s="1"/>
  <c r="T66" i="3"/>
  <c r="V66" i="3" s="1"/>
  <c r="T67" i="3"/>
  <c r="V67" i="3" s="1"/>
  <c r="T68" i="3"/>
  <c r="V68" i="3" s="1"/>
  <c r="T69" i="3"/>
  <c r="V69" i="3" s="1"/>
  <c r="T70" i="3"/>
  <c r="V70" i="3" s="1"/>
  <c r="T71" i="3"/>
  <c r="V71" i="3" s="1"/>
  <c r="T72" i="3"/>
  <c r="V72" i="3" s="1"/>
  <c r="T73" i="3"/>
  <c r="V73" i="3" s="1"/>
  <c r="T74" i="3"/>
  <c r="V74" i="3" s="1"/>
  <c r="T75" i="3"/>
  <c r="V75" i="3" s="1"/>
  <c r="T76" i="3"/>
  <c r="V76" i="3" s="1"/>
  <c r="T77" i="3"/>
  <c r="V77" i="3" s="1"/>
  <c r="T78" i="3"/>
  <c r="V78" i="3" s="1"/>
  <c r="T79" i="3"/>
  <c r="V79" i="3" s="1"/>
  <c r="T80" i="3"/>
  <c r="V80" i="3" s="1"/>
  <c r="T81" i="3"/>
  <c r="V81" i="3" s="1"/>
  <c r="T82" i="3"/>
  <c r="V82" i="3" s="1"/>
  <c r="T83" i="3"/>
  <c r="V83" i="3" s="1"/>
  <c r="T84" i="3"/>
  <c r="V84" i="3" s="1"/>
  <c r="T85" i="3"/>
  <c r="V85" i="3" s="1"/>
  <c r="T86" i="3"/>
  <c r="V86" i="3" s="1"/>
  <c r="T87" i="3"/>
  <c r="V87" i="3" s="1"/>
  <c r="T88" i="3"/>
  <c r="T89" i="3"/>
  <c r="V89" i="3" s="1"/>
  <c r="T90" i="3"/>
  <c r="V90" i="3" s="1"/>
  <c r="T91" i="3"/>
  <c r="V91" i="3" s="1"/>
  <c r="T92" i="3"/>
  <c r="V92" i="3" s="1"/>
  <c r="T93" i="3"/>
  <c r="V93" i="3" s="1"/>
  <c r="T94" i="3"/>
  <c r="V94" i="3" s="1"/>
  <c r="T95" i="3"/>
  <c r="V95" i="3" s="1"/>
  <c r="T96" i="3"/>
  <c r="V96" i="3" s="1"/>
  <c r="T97" i="3"/>
  <c r="V97" i="3" s="1"/>
  <c r="T98" i="3"/>
  <c r="V98" i="3" s="1"/>
  <c r="T99" i="3"/>
  <c r="V99" i="3" s="1"/>
  <c r="T100" i="3"/>
  <c r="V100" i="3" s="1"/>
  <c r="V16" i="3"/>
  <c r="V25" i="3"/>
  <c r="V27" i="3"/>
  <c r="V40" i="3"/>
  <c r="V64" i="3"/>
  <c r="V88" i="3"/>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T4" i="3"/>
  <c r="V4" i="3" s="1"/>
  <c r="W4" i="3" s="1"/>
  <c r="T5" i="3"/>
  <c r="V5" i="3" s="1"/>
  <c r="W5" i="3" s="1"/>
  <c r="T6" i="3"/>
  <c r="V6" i="3" s="1"/>
  <c r="W6" i="3" s="1"/>
  <c r="T7" i="3"/>
  <c r="V7" i="3" s="1"/>
  <c r="W7" i="3" s="1"/>
  <c r="T3" i="3"/>
  <c r="V3" i="3" s="1"/>
  <c r="W3" i="3" s="1"/>
  <c r="H4" i="1"/>
  <c r="H5" i="1"/>
  <c r="K5" i="1" s="1"/>
  <c r="H6" i="1"/>
  <c r="K6" i="1" s="1"/>
  <c r="H7" i="1"/>
  <c r="K7" i="1" s="1"/>
  <c r="H8" i="1"/>
  <c r="K8" i="1" s="1"/>
  <c r="H9" i="1"/>
  <c r="K9" i="1" s="1"/>
  <c r="H10" i="1"/>
  <c r="K10" i="1" s="1"/>
  <c r="H11" i="1"/>
  <c r="K11" i="1" s="1"/>
  <c r="H7" i="3" s="1"/>
  <c r="H12" i="1"/>
  <c r="K12" i="1" s="1"/>
  <c r="H13" i="1"/>
  <c r="K13" i="1" s="1"/>
  <c r="H14" i="1"/>
  <c r="K14" i="1" s="1"/>
  <c r="H15" i="1"/>
  <c r="K15" i="1" s="1"/>
  <c r="H16" i="1"/>
  <c r="K16" i="1" s="1"/>
  <c r="H17" i="1"/>
  <c r="K17" i="1" s="1"/>
  <c r="H18" i="1"/>
  <c r="K18" i="1" s="1"/>
  <c r="G20" i="3" s="1"/>
  <c r="H19" i="1"/>
  <c r="K19" i="1" s="1"/>
  <c r="G16" i="3" s="1"/>
  <c r="H20" i="1"/>
  <c r="K20" i="1" s="1"/>
  <c r="H21" i="1"/>
  <c r="K21" i="1" s="1"/>
  <c r="H22" i="1"/>
  <c r="K22" i="1" s="1"/>
  <c r="H23" i="1"/>
  <c r="K23" i="1" s="1"/>
  <c r="H24" i="1"/>
  <c r="K24" i="1" s="1"/>
  <c r="H25" i="1"/>
  <c r="K25" i="1" s="1"/>
  <c r="H26" i="1"/>
  <c r="K26" i="1" s="1"/>
  <c r="H27" i="1"/>
  <c r="K27" i="1" s="1"/>
  <c r="H28" i="1"/>
  <c r="K28" i="1" s="1"/>
  <c r="H29" i="1"/>
  <c r="K29" i="1" s="1"/>
  <c r="H30" i="1"/>
  <c r="K30" i="1" s="1"/>
  <c r="H31" i="1"/>
  <c r="K31" i="1" s="1"/>
  <c r="H32" i="1"/>
  <c r="K32" i="1" s="1"/>
  <c r="H33" i="1"/>
  <c r="K33" i="1" s="1"/>
  <c r="H34" i="1"/>
  <c r="K34" i="1" s="1"/>
  <c r="H35" i="1"/>
  <c r="K35" i="1" s="1"/>
  <c r="H36" i="1"/>
  <c r="K36" i="1" s="1"/>
  <c r="H37" i="1"/>
  <c r="K37" i="1" s="1"/>
  <c r="H38" i="1"/>
  <c r="K38" i="1" s="1"/>
  <c r="H39" i="1"/>
  <c r="H40" i="1"/>
  <c r="K40" i="1" s="1"/>
  <c r="H41" i="1"/>
  <c r="K41" i="1" s="1"/>
  <c r="H42" i="1"/>
  <c r="K42" i="1" s="1"/>
  <c r="H43" i="1"/>
  <c r="K43" i="1" s="1"/>
  <c r="H44" i="1"/>
  <c r="K44" i="1" s="1"/>
  <c r="H45" i="1"/>
  <c r="K45" i="1" s="1"/>
  <c r="H46" i="1"/>
  <c r="K46" i="1" s="1"/>
  <c r="H47" i="1"/>
  <c r="K47" i="1" s="1"/>
  <c r="H48" i="1"/>
  <c r="K48" i="1" s="1"/>
  <c r="H49" i="1"/>
  <c r="K49" i="1" s="1"/>
  <c r="H50" i="1"/>
  <c r="K50" i="1" s="1"/>
  <c r="H51" i="1"/>
  <c r="K51" i="1" s="1"/>
  <c r="H52" i="1"/>
  <c r="K52" i="1" s="1"/>
  <c r="H53" i="1"/>
  <c r="K53" i="1" s="1"/>
  <c r="H54" i="1"/>
  <c r="K54" i="1" s="1"/>
  <c r="H55" i="1"/>
  <c r="K55" i="1" s="1"/>
  <c r="H56" i="1"/>
  <c r="K56" i="1" s="1"/>
  <c r="H57" i="1"/>
  <c r="K57" i="1" s="1"/>
  <c r="H58" i="1"/>
  <c r="K58" i="1" s="1"/>
  <c r="H59" i="1"/>
  <c r="K59" i="1" s="1"/>
  <c r="H60" i="1"/>
  <c r="K60" i="1" s="1"/>
  <c r="H61" i="1"/>
  <c r="K61" i="1" s="1"/>
  <c r="H62" i="1"/>
  <c r="K62" i="1" s="1"/>
  <c r="H63" i="1"/>
  <c r="K63" i="1" s="1"/>
  <c r="H64" i="1"/>
  <c r="H65" i="1"/>
  <c r="K65" i="1" s="1"/>
  <c r="H66" i="1"/>
  <c r="K66" i="1" s="1"/>
  <c r="H67" i="1"/>
  <c r="K67" i="1" s="1"/>
  <c r="H68" i="1"/>
  <c r="K68" i="1" s="1"/>
  <c r="H69" i="1"/>
  <c r="K69" i="1" s="1"/>
  <c r="H70" i="1"/>
  <c r="K70" i="1" s="1"/>
  <c r="H71" i="1"/>
  <c r="K71" i="1" s="1"/>
  <c r="H72" i="1"/>
  <c r="K72" i="1" s="1"/>
  <c r="H73" i="1"/>
  <c r="K73" i="1" s="1"/>
  <c r="H74" i="1"/>
  <c r="K74" i="1" s="1"/>
  <c r="H75" i="1"/>
  <c r="K75" i="1" s="1"/>
  <c r="H76" i="1"/>
  <c r="K76" i="1" s="1"/>
  <c r="H77" i="1"/>
  <c r="K77" i="1" s="1"/>
  <c r="H78" i="1"/>
  <c r="K78" i="1" s="1"/>
  <c r="H79" i="1"/>
  <c r="K79" i="1" s="1"/>
  <c r="H80" i="1"/>
  <c r="K80" i="1" s="1"/>
  <c r="H81" i="1"/>
  <c r="K81" i="1" s="1"/>
  <c r="H82" i="1"/>
  <c r="K82" i="1" s="1"/>
  <c r="H83" i="1"/>
  <c r="K83" i="1" s="1"/>
  <c r="H84" i="1"/>
  <c r="K84" i="1" s="1"/>
  <c r="H85" i="1"/>
  <c r="K85" i="1" s="1"/>
  <c r="H86" i="1"/>
  <c r="K86" i="1" s="1"/>
  <c r="H87" i="1"/>
  <c r="K87" i="1" s="1"/>
  <c r="H88" i="1"/>
  <c r="K88" i="1" s="1"/>
  <c r="H89" i="1"/>
  <c r="K89" i="1" s="1"/>
  <c r="H90" i="1"/>
  <c r="K90" i="1" s="1"/>
  <c r="H91" i="1"/>
  <c r="K91" i="1" s="1"/>
  <c r="H92" i="1"/>
  <c r="K92" i="1" s="1"/>
  <c r="H93" i="1"/>
  <c r="K93" i="1" s="1"/>
  <c r="H94" i="1"/>
  <c r="K94" i="1" s="1"/>
  <c r="H95" i="1"/>
  <c r="K95" i="1" s="1"/>
  <c r="H96" i="1"/>
  <c r="K96" i="1" s="1"/>
  <c r="H97" i="1"/>
  <c r="K97" i="1" s="1"/>
  <c r="H98" i="1"/>
  <c r="K98" i="1" s="1"/>
  <c r="H99" i="1"/>
  <c r="K99" i="1" s="1"/>
  <c r="H100" i="1"/>
  <c r="K100" i="1" s="1"/>
  <c r="H3" i="1"/>
  <c r="K3" i="1" s="1"/>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H8" i="3"/>
  <c r="H10" i="3"/>
  <c r="H11" i="3"/>
  <c r="H12" i="3"/>
  <c r="H13" i="3"/>
  <c r="H16" i="3"/>
  <c r="H17" i="3"/>
  <c r="H18" i="3"/>
  <c r="H19"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G5" i="3"/>
  <c r="G6" i="3"/>
  <c r="G7" i="3"/>
  <c r="G8" i="3"/>
  <c r="G9" i="3"/>
  <c r="G10" i="3"/>
  <c r="G11" i="3"/>
  <c r="G12" i="3"/>
  <c r="G13" i="3"/>
  <c r="G14" i="3"/>
  <c r="G15" i="3"/>
  <c r="G17" i="3"/>
  <c r="G18" i="3"/>
  <c r="G19"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I8" i="3"/>
  <c r="I10" i="3"/>
  <c r="I11" i="3"/>
  <c r="I12" i="3"/>
  <c r="I13" i="3"/>
  <c r="I17" i="3"/>
  <c r="I18" i="3"/>
  <c r="I19"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3" i="3"/>
  <c r="K39" i="1"/>
  <c r="K64" i="1"/>
  <c r="S61" i="4"/>
  <c r="Y61" i="4"/>
  <c r="T61" i="4"/>
  <c r="I7" i="3" l="1"/>
  <c r="L19" i="1"/>
  <c r="Q3" i="3"/>
  <c r="S3" i="3" s="1"/>
  <c r="I16" i="3"/>
  <c r="G4" i="3"/>
  <c r="G3" i="3"/>
  <c r="I4" i="3"/>
  <c r="H6" i="3"/>
  <c r="H14" i="3"/>
  <c r="I9" i="3"/>
  <c r="I20" i="3"/>
  <c r="H15" i="3"/>
  <c r="I6" i="3"/>
  <c r="H9" i="3"/>
  <c r="H20" i="3"/>
  <c r="H4" i="3"/>
  <c r="I15" i="3"/>
  <c r="I14" i="3"/>
  <c r="L84" i="3"/>
  <c r="N84" i="3" s="1"/>
  <c r="L72" i="3"/>
  <c r="N72" i="3" s="1"/>
  <c r="L60" i="3"/>
  <c r="N60" i="3" s="1"/>
  <c r="L48" i="3"/>
  <c r="N48" i="3" s="1"/>
  <c r="L12" i="3"/>
  <c r="N12" i="3" s="1"/>
  <c r="L54" i="3"/>
  <c r="N54" i="3" s="1"/>
  <c r="L99" i="3"/>
  <c r="N99" i="3" s="1"/>
  <c r="L87" i="3"/>
  <c r="N87" i="3" s="1"/>
  <c r="L75" i="3"/>
  <c r="N75" i="3" s="1"/>
  <c r="L63" i="3"/>
  <c r="N63" i="3" s="1"/>
  <c r="L51" i="3"/>
  <c r="N51" i="3" s="1"/>
  <c r="L39" i="3"/>
  <c r="N39" i="3" s="1"/>
  <c r="L27" i="3"/>
  <c r="N27" i="3" s="1"/>
  <c r="L93" i="3"/>
  <c r="N93" i="3" s="1"/>
  <c r="L81" i="3"/>
  <c r="N81" i="3" s="1"/>
  <c r="L69" i="3"/>
  <c r="N69" i="3" s="1"/>
  <c r="L57" i="3"/>
  <c r="N57" i="3" s="1"/>
  <c r="L45" i="3"/>
  <c r="N45" i="3" s="1"/>
  <c r="L33" i="3"/>
  <c r="N33" i="3" s="1"/>
  <c r="L47" i="3"/>
  <c r="N47" i="3" s="1"/>
  <c r="L44" i="3"/>
  <c r="N44" i="3" s="1"/>
  <c r="L32" i="3"/>
  <c r="N32" i="3" s="1"/>
  <c r="L23" i="3"/>
  <c r="N23" i="3" s="1"/>
  <c r="L67" i="3"/>
  <c r="N67" i="3" s="1"/>
  <c r="L43" i="3"/>
  <c r="N43" i="3" s="1"/>
  <c r="L71" i="3"/>
  <c r="N71" i="3" s="1"/>
  <c r="L94" i="3"/>
  <c r="N94" i="3" s="1"/>
  <c r="L55" i="3"/>
  <c r="N55" i="3" s="1"/>
  <c r="L95" i="3"/>
  <c r="N95" i="3" s="1"/>
  <c r="L83" i="3"/>
  <c r="N83" i="3" s="1"/>
  <c r="L59" i="3"/>
  <c r="N59" i="3" s="1"/>
  <c r="L82" i="3"/>
  <c r="N82" i="3" s="1"/>
  <c r="L70" i="3"/>
  <c r="N70" i="3" s="1"/>
  <c r="L58" i="3"/>
  <c r="N58" i="3" s="1"/>
  <c r="L46" i="3"/>
  <c r="N46" i="3" s="1"/>
  <c r="L34" i="3"/>
  <c r="N34" i="3" s="1"/>
  <c r="L22" i="3"/>
  <c r="N22" i="3" s="1"/>
  <c r="L92" i="3"/>
  <c r="N92" i="3" s="1"/>
  <c r="L56" i="3"/>
  <c r="N56" i="3" s="1"/>
  <c r="L91" i="3"/>
  <c r="N91" i="3" s="1"/>
  <c r="L79" i="3"/>
  <c r="N79" i="3" s="1"/>
  <c r="L31" i="3"/>
  <c r="N31" i="3" s="1"/>
  <c r="L19" i="3"/>
  <c r="N19" i="3" s="1"/>
  <c r="L15" i="3"/>
  <c r="L21" i="3"/>
  <c r="N21" i="3" s="1"/>
  <c r="L80" i="3"/>
  <c r="N80" i="3" s="1"/>
  <c r="L68" i="3"/>
  <c r="N68" i="3" s="1"/>
  <c r="L20" i="3"/>
  <c r="L100" i="3"/>
  <c r="N100" i="3" s="1"/>
  <c r="L88" i="3"/>
  <c r="N88" i="3" s="1"/>
  <c r="L76" i="3"/>
  <c r="N76" i="3" s="1"/>
  <c r="L64" i="3"/>
  <c r="N64" i="3" s="1"/>
  <c r="L52" i="3"/>
  <c r="N52" i="3" s="1"/>
  <c r="L40" i="3"/>
  <c r="N40" i="3" s="1"/>
  <c r="L28" i="3"/>
  <c r="N28" i="3" s="1"/>
  <c r="L16" i="3"/>
  <c r="L90" i="3"/>
  <c r="N90" i="3" s="1"/>
  <c r="L78" i="3"/>
  <c r="N78" i="3" s="1"/>
  <c r="L66" i="3"/>
  <c r="N66" i="3" s="1"/>
  <c r="L42" i="3"/>
  <c r="N42" i="3" s="1"/>
  <c r="L30" i="3"/>
  <c r="N30" i="3" s="1"/>
  <c r="L18" i="3"/>
  <c r="N18" i="3" s="1"/>
  <c r="L96" i="3"/>
  <c r="N96" i="3" s="1"/>
  <c r="L36" i="3"/>
  <c r="N36" i="3" s="1"/>
  <c r="L24" i="3"/>
  <c r="N24" i="3" s="1"/>
  <c r="L35" i="3"/>
  <c r="N35" i="3" s="1"/>
  <c r="L97" i="3"/>
  <c r="N97" i="3" s="1"/>
  <c r="L85" i="3"/>
  <c r="N85" i="3" s="1"/>
  <c r="L73" i="3"/>
  <c r="N73" i="3" s="1"/>
  <c r="L61" i="3"/>
  <c r="N61" i="3" s="1"/>
  <c r="L49" i="3"/>
  <c r="N49" i="3" s="1"/>
  <c r="L37" i="3"/>
  <c r="N37" i="3" s="1"/>
  <c r="L25" i="3"/>
  <c r="N25" i="3" s="1"/>
  <c r="L13" i="3"/>
  <c r="N13" i="3" s="1"/>
  <c r="L89" i="3"/>
  <c r="N89" i="3" s="1"/>
  <c r="L77" i="3"/>
  <c r="N77" i="3" s="1"/>
  <c r="L65" i="3"/>
  <c r="N65" i="3" s="1"/>
  <c r="L53" i="3"/>
  <c r="N53" i="3" s="1"/>
  <c r="L41" i="3"/>
  <c r="N41" i="3" s="1"/>
  <c r="L29" i="3"/>
  <c r="N29" i="3" s="1"/>
  <c r="L17" i="3"/>
  <c r="N17" i="3" s="1"/>
  <c r="L98" i="3"/>
  <c r="N98" i="3" s="1"/>
  <c r="L86" i="3"/>
  <c r="N86" i="3" s="1"/>
  <c r="L74" i="3"/>
  <c r="N74" i="3" s="1"/>
  <c r="L62" i="3"/>
  <c r="N62" i="3" s="1"/>
  <c r="L50" i="3"/>
  <c r="N50" i="3" s="1"/>
  <c r="L38" i="3"/>
  <c r="N38" i="3" s="1"/>
  <c r="L26" i="3"/>
  <c r="N26" i="3" s="1"/>
  <c r="L14" i="3"/>
  <c r="L3" i="3"/>
  <c r="L6" i="3"/>
  <c r="L8" i="3"/>
  <c r="N8" i="3" s="1"/>
  <c r="L4" i="3"/>
  <c r="L11" i="3"/>
  <c r="N11" i="3" s="1"/>
  <c r="L10" i="3"/>
  <c r="N10" i="3" s="1"/>
  <c r="L9" i="3"/>
  <c r="L7" i="3"/>
  <c r="N7" i="3" s="1"/>
  <c r="L5" i="3"/>
  <c r="N5" i="3" s="1"/>
  <c r="K4" i="1"/>
  <c r="H5" i="3" l="1"/>
  <c r="I5" i="3"/>
  <c r="L18" i="1"/>
  <c r="L17" i="1"/>
  <c r="L6" i="1"/>
  <c r="L11" i="1"/>
  <c r="L8" i="1"/>
  <c r="L9" i="1"/>
  <c r="L4" i="1"/>
  <c r="L13" i="1"/>
  <c r="L14" i="1"/>
  <c r="L15" i="1"/>
  <c r="L16" i="1"/>
  <c r="L7" i="1"/>
  <c r="L12" i="1"/>
  <c r="L10" i="1"/>
  <c r="L3" i="1"/>
  <c r="L5" i="1"/>
  <c r="N16" i="3"/>
  <c r="N20" i="3"/>
  <c r="I3" i="3"/>
  <c r="H3" i="3"/>
  <c r="N15" i="3"/>
  <c r="N6" i="3"/>
  <c r="N9" i="3"/>
  <c r="N14" i="3"/>
  <c r="N4" i="3"/>
  <c r="N3" i="3"/>
</calcChain>
</file>

<file path=xl/sharedStrings.xml><?xml version="1.0" encoding="utf-8"?>
<sst xmlns="http://schemas.openxmlformats.org/spreadsheetml/2006/main" count="244" uniqueCount="71">
  <si>
    <t>Date</t>
  </si>
  <si>
    <t>Platform</t>
  </si>
  <si>
    <t>Type</t>
  </si>
  <si>
    <t>Amazon</t>
  </si>
  <si>
    <t>Shopify</t>
  </si>
  <si>
    <t>B2C</t>
  </si>
  <si>
    <t>Sale</t>
  </si>
  <si>
    <t>Purchase</t>
  </si>
  <si>
    <t>Description</t>
  </si>
  <si>
    <t>Product name</t>
  </si>
  <si>
    <t>Platform names</t>
  </si>
  <si>
    <t>Product names</t>
  </si>
  <si>
    <t>Product price (per unit)</t>
  </si>
  <si>
    <t>Min stock to be kept</t>
  </si>
  <si>
    <t>Stock status</t>
  </si>
  <si>
    <t>Opening inventory</t>
  </si>
  <si>
    <t>Total price</t>
  </si>
  <si>
    <t>Qty</t>
  </si>
  <si>
    <t>Stock</t>
  </si>
  <si>
    <t>Available stock</t>
  </si>
  <si>
    <t>Column Labels</t>
  </si>
  <si>
    <t>Grand Total</t>
  </si>
  <si>
    <t>(All)</t>
  </si>
  <si>
    <t>Row Labels</t>
  </si>
  <si>
    <t>Sum of Stock</t>
  </si>
  <si>
    <t>Out of stock</t>
  </si>
  <si>
    <t>In stock</t>
  </si>
  <si>
    <t>Stock running out</t>
  </si>
  <si>
    <t>Shipping/Tax</t>
  </si>
  <si>
    <t>Profit</t>
  </si>
  <si>
    <t>Sum of Profit</t>
  </si>
  <si>
    <t>Sum of Purchase</t>
  </si>
  <si>
    <t>Purchase $</t>
  </si>
  <si>
    <t>Sale $</t>
  </si>
  <si>
    <t>Sum of Purchase $</t>
  </si>
  <si>
    <t>Sum of Sale $</t>
  </si>
  <si>
    <t>Supply</t>
  </si>
  <si>
    <t>x1Labels</t>
  </si>
  <si>
    <t>x1Security Seal</t>
  </si>
  <si>
    <t>x1Spice</t>
  </si>
  <si>
    <t>x1ExtraMaterial</t>
  </si>
  <si>
    <t>x1Tins</t>
  </si>
  <si>
    <t>Supply product names</t>
  </si>
  <si>
    <t>Supply status</t>
  </si>
  <si>
    <t>Supply purchase $</t>
  </si>
  <si>
    <t>Supply product name</t>
  </si>
  <si>
    <t>Supply product price (per unit)</t>
  </si>
  <si>
    <t>Supply used $</t>
  </si>
  <si>
    <t>Used</t>
  </si>
  <si>
    <t>Balance $</t>
  </si>
  <si>
    <t>Supply Balance</t>
  </si>
  <si>
    <t>x1Stuff</t>
  </si>
  <si>
    <t>AProd 1</t>
  </si>
  <si>
    <t>AProd 2</t>
  </si>
  <si>
    <t>AProd 3</t>
  </si>
  <si>
    <t>AProd 4</t>
  </si>
  <si>
    <t>AProd 5</t>
  </si>
  <si>
    <t>AProd 6</t>
  </si>
  <si>
    <t>AProd 7</t>
  </si>
  <si>
    <t>AProd 8</t>
  </si>
  <si>
    <t>AProd 9</t>
  </si>
  <si>
    <t>SProd 1</t>
  </si>
  <si>
    <t>SProd 2</t>
  </si>
  <si>
    <t>SProd 3</t>
  </si>
  <si>
    <t>SProd 4</t>
  </si>
  <si>
    <t>B2CProd 1</t>
  </si>
  <si>
    <t>B2CProd 2</t>
  </si>
  <si>
    <t>B2CProd 3</t>
  </si>
  <si>
    <t>B2CProd 4</t>
  </si>
  <si>
    <t>B2CProd 5</t>
  </si>
  <si>
    <t>B2CProd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</si>
</sst>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quot;$&quot;#,##0.00"/>
    <numFmt numFmtId="165" formatCode="_-[$£-809]* #,##0.00_-;\-[$£-809]* #,##0.00_-;_-[$£-809]* &quot;-&quot;??_-;_-@_-"/>
  </numFmts>
  <fonts count="4"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bgColor indexed="64"/>
      </patternFill>
    </fill>
    <fill>
      <patternFill patternType="solid">
        <fgColor theme="3" tint="0.79998168889431442"/>
        <bgColor indexed="64"/>
      </patternFill>
    </fill>
  </fills>
  <borders count="20">
    <border>
      <left/>
      <right/>
      <top/>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right/>
      <top style="medium">
        <color theme="0"/>
      </top>
      <bottom/>
      <diagonal/>
    </border>
    <border>
      <left style="medium">
        <color theme="0"/>
      </left>
      <right/>
      <top/>
      <bottom/>
      <diagonal/>
    </border>
    <border>
      <left style="medium">
        <color theme="0"/>
      </left>
      <right/>
      <top/>
      <bottom style="medium">
        <color theme="0"/>
      </bottom>
      <diagonal/>
    </border>
    <border>
      <left/>
      <right style="medium">
        <color theme="0"/>
      </right>
      <top/>
      <bottom/>
      <diagonal/>
    </border>
    <border>
      <left style="thick">
        <color theme="1"/>
      </left>
      <right style="medium">
        <color theme="0"/>
      </right>
      <top style="thick">
        <color theme="1"/>
      </top>
      <bottom/>
      <diagonal/>
    </border>
    <border>
      <left/>
      <right/>
      <top style="thick">
        <color theme="1"/>
      </top>
      <bottom/>
      <diagonal/>
    </border>
    <border>
      <left/>
      <right style="thick">
        <color theme="1"/>
      </right>
      <top style="thick">
        <color theme="1"/>
      </top>
      <bottom/>
      <diagonal/>
    </border>
    <border>
      <left style="thick">
        <color theme="1"/>
      </left>
      <right style="medium">
        <color theme="0"/>
      </right>
      <top/>
      <bottom/>
      <diagonal/>
    </border>
    <border>
      <left/>
      <right style="thick">
        <color theme="1"/>
      </right>
      <top/>
      <bottom/>
      <diagonal/>
    </border>
    <border>
      <left style="thick">
        <color theme="1"/>
      </left>
      <right style="medium">
        <color theme="0"/>
      </right>
      <top/>
      <bottom style="thick">
        <color theme="1"/>
      </bottom>
      <diagonal/>
    </border>
    <border>
      <left/>
      <right/>
      <top/>
      <bottom style="thick">
        <color theme="1"/>
      </bottom>
      <diagonal/>
    </border>
    <border>
      <left/>
      <right style="thick">
        <color theme="1"/>
      </right>
      <top/>
      <bottom style="thick">
        <color theme="1"/>
      </bottom>
      <diagonal/>
    </border>
  </borders>
  <cellStyleXfs count="2">
    <xf numFmtId="0" fontId="0" fillId="0" borderId="0"/>
    <xf numFmtId="44" fontId="3" fillId="0" borderId="0" applyFont="0" applyFill="0" applyBorder="0" applyAlignment="0" applyProtection="0"/>
  </cellStyleXfs>
  <cellXfs count="60">
    <xf numFmtId="0" fontId="0" fillId="0" borderId="0" xfId="0"/>
    <xf numFmtId="0" fontId="2" fillId="2" borderId="1" xfId="0" applyFont="1" applyFill="1" applyBorder="1"/>
    <xf numFmtId="164" fontId="2" fillId="2" borderId="1" xfId="0" applyNumberFormat="1" applyFont="1" applyFill="1" applyBorder="1"/>
    <xf numFmtId="0" fontId="2" fillId="2" borderId="1" xfId="0" applyNumberFormat="1" applyFont="1" applyFill="1" applyBorder="1"/>
    <xf numFmtId="0" fontId="0" fillId="3" borderId="0" xfId="0" applyFill="1"/>
    <xf numFmtId="164" fontId="0" fillId="3" borderId="0" xfId="0" applyNumberFormat="1" applyFill="1"/>
    <xf numFmtId="0" fontId="0" fillId="3" borderId="0" xfId="0" applyNumberFormat="1" applyFill="1"/>
    <xf numFmtId="14" fontId="0" fillId="3" borderId="1" xfId="0" applyNumberFormat="1" applyFont="1" applyFill="1" applyBorder="1" applyAlignment="1"/>
    <xf numFmtId="0" fontId="0" fillId="3" borderId="1" xfId="0" applyFont="1" applyFill="1" applyBorder="1"/>
    <xf numFmtId="164" fontId="0" fillId="3" borderId="1" xfId="0" applyNumberFormat="1" applyFont="1" applyFill="1" applyBorder="1"/>
    <xf numFmtId="14" fontId="0" fillId="3" borderId="1" xfId="0" applyNumberFormat="1" applyFont="1" applyFill="1" applyBorder="1"/>
    <xf numFmtId="0" fontId="0" fillId="3" borderId="0" xfId="0" applyFont="1" applyFill="1" applyBorder="1"/>
    <xf numFmtId="164" fontId="0" fillId="3" borderId="0" xfId="0" applyNumberFormat="1" applyFont="1" applyFill="1" applyBorder="1"/>
    <xf numFmtId="0" fontId="0" fillId="3" borderId="0" xfId="0" applyNumberFormat="1" applyFont="1" applyFill="1" applyBorder="1"/>
    <xf numFmtId="0" fontId="0" fillId="3" borderId="0" xfId="0" applyFill="1" applyBorder="1"/>
    <xf numFmtId="0" fontId="0" fillId="3" borderId="1" xfId="0" applyFill="1" applyBorder="1"/>
    <xf numFmtId="0" fontId="0" fillId="4" borderId="1" xfId="0" applyFont="1" applyFill="1" applyBorder="1"/>
    <xf numFmtId="164" fontId="0" fillId="4" borderId="1" xfId="0" applyNumberFormat="1" applyFont="1" applyFill="1" applyBorder="1"/>
    <xf numFmtId="0" fontId="0" fillId="4" borderId="1" xfId="0" applyNumberFormat="1" applyFont="1" applyFill="1" applyBorder="1"/>
    <xf numFmtId="0" fontId="0" fillId="4" borderId="0" xfId="0" applyFill="1"/>
    <xf numFmtId="0" fontId="0" fillId="3" borderId="0" xfId="0" applyFill="1" applyAlignment="1">
      <alignment wrapText="1"/>
    </xf>
    <xf numFmtId="0" fontId="0" fillId="3" borderId="0" xfId="0" applyFill="1" applyBorder="1" applyAlignment="1">
      <alignment wrapText="1"/>
    </xf>
    <xf numFmtId="0" fontId="0" fillId="0" borderId="0" xfId="0" applyFill="1" applyBorder="1" applyAlignment="1">
      <alignment wrapText="1"/>
    </xf>
    <xf numFmtId="0" fontId="0" fillId="0" borderId="0" xfId="0" applyFill="1" applyAlignment="1">
      <alignment wrapText="1"/>
    </xf>
    <xf numFmtId="0" fontId="0" fillId="0" borderId="0" xfId="0" applyFill="1" applyAlignment="1">
      <alignment horizontal="left" wrapText="1"/>
    </xf>
    <xf numFmtId="0" fontId="0" fillId="0" borderId="0" xfId="0" applyNumberFormat="1" applyFill="1" applyAlignment="1">
      <alignment wrapText="1"/>
    </xf>
    <xf numFmtId="0" fontId="0" fillId="0" borderId="0" xfId="0" pivotButton="1"/>
    <xf numFmtId="0" fontId="0" fillId="0" borderId="0" xfId="0" applyAlignment="1">
      <alignment horizontal="left"/>
    </xf>
    <xf numFmtId="0" fontId="0" fillId="0" borderId="0" xfId="0" applyNumberFormat="1"/>
    <xf numFmtId="0" fontId="0" fillId="5" borderId="0" xfId="0" applyFill="1" applyBorder="1" applyAlignment="1">
      <alignment wrapText="1"/>
    </xf>
    <xf numFmtId="0" fontId="0" fillId="3" borderId="2" xfId="0" applyFill="1" applyBorder="1"/>
    <xf numFmtId="0" fontId="2" fillId="2" borderId="4" xfId="0" applyFont="1" applyFill="1" applyBorder="1"/>
    <xf numFmtId="0" fontId="0" fillId="2" borderId="5" xfId="0" applyFill="1" applyBorder="1" applyAlignment="1">
      <alignment wrapText="1"/>
    </xf>
    <xf numFmtId="0" fontId="0" fillId="2" borderId="6" xfId="0" applyFill="1" applyBorder="1" applyAlignment="1">
      <alignment wrapText="1"/>
    </xf>
    <xf numFmtId="0" fontId="0" fillId="2" borderId="7" xfId="0" applyFill="1" applyBorder="1" applyAlignment="1">
      <alignment wrapText="1"/>
    </xf>
    <xf numFmtId="0" fontId="0" fillId="2" borderId="3" xfId="0" applyFill="1" applyBorder="1" applyAlignment="1">
      <alignment wrapText="1"/>
    </xf>
    <xf numFmtId="0" fontId="0" fillId="2" borderId="9" xfId="0" applyFill="1" applyBorder="1" applyAlignment="1">
      <alignment wrapText="1"/>
    </xf>
    <xf numFmtId="0" fontId="0" fillId="2" borderId="10" xfId="0" applyFill="1" applyBorder="1" applyAlignment="1">
      <alignment wrapText="1"/>
    </xf>
    <xf numFmtId="0" fontId="2" fillId="2" borderId="8" xfId="0" applyFont="1" applyFill="1" applyBorder="1"/>
    <xf numFmtId="0" fontId="0" fillId="5" borderId="11" xfId="0" applyFill="1" applyBorder="1" applyAlignment="1">
      <alignment wrapText="1"/>
    </xf>
    <xf numFmtId="0" fontId="0" fillId="5" borderId="4" xfId="0" applyFill="1" applyBorder="1" applyAlignment="1">
      <alignment wrapText="1"/>
    </xf>
    <xf numFmtId="164" fontId="0" fillId="3" borderId="0" xfId="0" applyNumberFormat="1" applyFill="1" applyBorder="1"/>
    <xf numFmtId="164" fontId="0" fillId="3" borderId="1" xfId="0" applyNumberFormat="1" applyFill="1" applyBorder="1"/>
    <xf numFmtId="0" fontId="0" fillId="6" borderId="1" xfId="0" applyFont="1" applyFill="1" applyBorder="1"/>
    <xf numFmtId="0" fontId="0" fillId="6" borderId="1" xfId="0" applyFill="1" applyBorder="1"/>
    <xf numFmtId="164" fontId="0" fillId="6" borderId="1" xfId="0" applyNumberFormat="1" applyFill="1" applyBorder="1"/>
    <xf numFmtId="164" fontId="0" fillId="6" borderId="1" xfId="0" applyNumberFormat="1" applyFont="1" applyFill="1" applyBorder="1"/>
    <xf numFmtId="0" fontId="0" fillId="6" borderId="1" xfId="0" applyNumberFormat="1" applyFill="1" applyBorder="1"/>
    <xf numFmtId="0" fontId="0" fillId="6" borderId="1" xfId="0" applyNumberFormat="1" applyFont="1" applyFill="1" applyBorder="1"/>
    <xf numFmtId="0" fontId="0" fillId="3" borderId="0" xfId="0" applyNumberFormat="1" applyFill="1" applyBorder="1"/>
    <xf numFmtId="165" fontId="0" fillId="0" borderId="0" xfId="0" applyNumberFormat="1" applyFill="1" applyBorder="1" applyAlignment="1">
      <alignment wrapText="1"/>
    </xf>
    <xf numFmtId="165" fontId="0" fillId="0" borderId="0" xfId="1" applyNumberFormat="1" applyFont="1" applyFill="1" applyBorder="1" applyAlignment="1">
      <alignment wrapText="1"/>
    </xf>
    <xf numFmtId="0" fontId="0" fillId="2" borderId="12" xfId="0" applyFill="1" applyBorder="1" applyAlignment="1">
      <alignment wrapText="1"/>
    </xf>
    <xf numFmtId="0" fontId="0" fillId="5" borderId="13" xfId="0" applyFill="1" applyBorder="1" applyAlignment="1">
      <alignment wrapText="1"/>
    </xf>
    <xf numFmtId="0" fontId="0" fillId="5" borderId="14" xfId="0" applyFill="1" applyBorder="1" applyAlignment="1">
      <alignment wrapText="1"/>
    </xf>
    <xf numFmtId="0" fontId="0" fillId="2" borderId="15" xfId="0" applyFill="1" applyBorder="1" applyAlignment="1">
      <alignment wrapText="1"/>
    </xf>
    <xf numFmtId="0" fontId="0" fillId="5" borderId="16" xfId="0" applyFill="1" applyBorder="1" applyAlignment="1">
      <alignment wrapText="1"/>
    </xf>
    <xf numFmtId="0" fontId="0" fillId="2" borderId="17" xfId="0" applyFill="1" applyBorder="1" applyAlignment="1">
      <alignment wrapText="1"/>
    </xf>
    <xf numFmtId="0" fontId="0" fillId="5" borderId="18" xfId="0" applyFill="1" applyBorder="1" applyAlignment="1">
      <alignment wrapText="1"/>
    </xf>
    <xf numFmtId="0" fontId="0" fillId="5" borderId="19" xfId="0" applyFill="1" applyBorder="1" applyAlignment="1">
      <alignment wrapText="1"/>
    </xf>
  </cellXfs>
  <cellStyles count="2">
    <cellStyle name="Currency" xfId="1" builtinId="4"/>
    <cellStyle name="Normal" xfId="0" builtinId="0"/>
  </cellStyles>
  <dxfs count="38">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alignment wrapText="1"/>
    </dxf>
    <dxf>
      <alignment wrapText="1"/>
    </dxf>
    <dxf>
      <alignment wrapText="1"/>
    </dxf>
    <dxf>
      <alignment wrapText="1"/>
    </dxf>
    <dxf>
      <alignment wrapText="1"/>
    </dxf>
    <dxf>
      <alignment wrapText="1"/>
    </dxf>
    <dxf>
      <alignment wrapText="1"/>
    </dxf>
    <dxf>
      <alignment wrapTex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4" tint="0.79998168889431442"/>
        </patternFill>
      </fill>
    </dxf>
    <dxf>
      <fill>
        <patternFill>
          <bgColor theme="3"/>
        </patternFill>
      </fill>
    </dxf>
    <dxf>
      <fill>
        <patternFill>
          <bgColor theme="3"/>
        </patternFill>
      </fill>
    </dxf>
    <dxf>
      <font>
        <b/>
        <i val="0"/>
        <color theme="1"/>
      </font>
      <border>
        <bottom style="thin">
          <color theme="4"/>
        </bottom>
        <vertical/>
        <horizontal/>
      </border>
    </dxf>
    <dxf>
      <font>
        <color theme="1"/>
      </font>
      <fill>
        <patternFill>
          <bgColor theme="0"/>
        </patternFill>
      </fill>
      <border diagonalUp="0" diagonalDown="0">
        <left/>
        <right/>
        <top/>
        <bottom/>
        <vertical/>
        <horizontal/>
      </border>
    </dxf>
  </dxfs>
  <tableStyles count="1" defaultTableStyle="TableStyleMedium2" defaultPivotStyle="PivotStyleLight16">
    <tableStyle name="SlicerStyleLight1 2" pivot="0" table="0" count="10" xr9:uid="{D0282800-3750-4D5E-8D2A-53CABEFC4DE4}">
      <tableStyleElement type="wholeTable" dxfId="37"/>
      <tableStyleElement type="headerRow" dxfId="3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management.xlsm]Dashboard!PivotTable2</c:name>
    <c:fmtId val="1"/>
  </c:pivotSource>
  <c:chart>
    <c:title>
      <c:tx>
        <c:rich>
          <a:bodyPr rot="0" spcFirstLastPara="1" vertOverflow="ellipsis" vert="horz" wrap="square" anchor="ctr" anchorCtr="1"/>
          <a:lstStyle/>
          <a:p>
            <a:pPr>
              <a:defRPr sz="2000" b="1" i="1" u="none" strike="noStrike" kern="1200" spc="0" baseline="0">
                <a:solidFill>
                  <a:schemeClr val="tx2"/>
                </a:solidFill>
                <a:latin typeface="+mn-lt"/>
                <a:ea typeface="+mn-ea"/>
                <a:cs typeface="+mn-cs"/>
              </a:defRPr>
            </a:pPr>
            <a:r>
              <a:rPr lang="en-US" sz="2000" b="1" i="1">
                <a:solidFill>
                  <a:schemeClr val="tx2"/>
                </a:solidFill>
              </a:rPr>
              <a:t>Stock status</a:t>
            </a:r>
          </a:p>
        </c:rich>
      </c:tx>
      <c:layout>
        <c:manualLayout>
          <c:xMode val="edge"/>
          <c:yMode val="edge"/>
          <c:x val="0.3902695521955461"/>
          <c:y val="3.0426807444523987E-2"/>
        </c:manualLayout>
      </c:layout>
      <c:overlay val="0"/>
      <c:spPr>
        <a:noFill/>
        <a:ln>
          <a:noFill/>
        </a:ln>
        <a:effectLst/>
      </c:spPr>
      <c:txPr>
        <a:bodyPr rot="0" spcFirstLastPara="1" vertOverflow="ellipsis" vert="horz" wrap="square" anchor="ctr" anchorCtr="1"/>
        <a:lstStyle/>
        <a:p>
          <a:pPr>
            <a:defRPr sz="2000" b="1" i="1" u="none" strike="noStrike" kern="1200" spc="0" baseline="0">
              <a:solidFill>
                <a:schemeClr val="tx2"/>
              </a:solidFill>
              <a:latin typeface="+mn-lt"/>
              <a:ea typeface="+mn-ea"/>
              <a:cs typeface="+mn-cs"/>
            </a:defRPr>
          </a:pPr>
          <a:endParaRPr lang="en-US"/>
        </a:p>
      </c:txPr>
    </c:title>
    <c:autoTitleDeleted val="0"/>
    <c:pivotFmts>
      <c:pivotFmt>
        <c:idx val="0"/>
        <c:spPr>
          <a:solidFill>
            <a:schemeClr val="tx2"/>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358899701419387E-2"/>
          <c:y val="0.18121107730851824"/>
          <c:w val="0.93136116612724018"/>
          <c:h val="0.72823192555476013"/>
        </c:manualLayout>
      </c:layout>
      <c:barChart>
        <c:barDir val="col"/>
        <c:grouping val="clustered"/>
        <c:varyColors val="0"/>
        <c:ser>
          <c:idx val="0"/>
          <c:order val="0"/>
          <c:tx>
            <c:strRef>
              <c:f>Dashboard!$F$38:$F$39</c:f>
              <c:strCache>
                <c:ptCount val="1"/>
                <c:pt idx="0">
                  <c:v>In stock</c:v>
                </c:pt>
              </c:strCache>
            </c:strRef>
          </c:tx>
          <c:spPr>
            <a:solidFill>
              <a:schemeClr val="accent1"/>
            </a:solidFill>
            <a:ln w="19050">
              <a:solidFill>
                <a:schemeClr val="tx1"/>
              </a:solidFill>
            </a:ln>
            <a:effectLst/>
          </c:spPr>
          <c:invertIfNegative val="0"/>
          <c:cat>
            <c:strRef>
              <c:f>Dashboard!$E$40:$E$59</c:f>
              <c:strCache>
                <c:ptCount val="19"/>
                <c:pt idx="0">
                  <c:v>AProd 1</c:v>
                </c:pt>
                <c:pt idx="1">
                  <c:v>AProd 2</c:v>
                </c:pt>
                <c:pt idx="2">
                  <c:v>AProd 3</c:v>
                </c:pt>
                <c:pt idx="3">
                  <c:v>AProd 4</c:v>
                </c:pt>
                <c:pt idx="4">
                  <c:v>AProd 5</c:v>
                </c:pt>
                <c:pt idx="5">
                  <c:v>AProd 6</c:v>
                </c:pt>
                <c:pt idx="6">
                  <c:v>AProd 7</c:v>
                </c:pt>
                <c:pt idx="7">
                  <c:v>AProd 8</c:v>
                </c:pt>
                <c:pt idx="8">
                  <c:v>AProd 9</c:v>
                </c:pt>
                <c:pt idx="9">
                  <c:v>SProd 1</c:v>
                </c:pt>
                <c:pt idx="10">
                  <c:v>SProd 2</c:v>
                </c:pt>
                <c:pt idx="11">
                  <c:v>SProd 3</c:v>
                </c:pt>
                <c:pt idx="12">
                  <c:v>SProd 4</c:v>
                </c:pt>
                <c:pt idx="13">
                  <c:v>B2CProd 1</c:v>
                </c:pt>
                <c:pt idx="14">
                  <c:v>B2CProd 2</c:v>
                </c:pt>
                <c:pt idx="15">
                  <c:v>B2CProd 3</c:v>
                </c:pt>
                <c:pt idx="16">
                  <c:v>B2CProd 4</c:v>
                </c:pt>
                <c:pt idx="17">
                  <c:v>B2CProd 5</c:v>
                </c:pt>
                <c:pt idx="18">
                  <c:v>B2CProd 6</c:v>
                </c:pt>
              </c:strCache>
            </c:strRef>
          </c:cat>
          <c:val>
            <c:numRef>
              <c:f>Dashboard!$F$40:$F$59</c:f>
              <c:numCache>
                <c:formatCode>General</c:formatCode>
                <c:ptCount val="19"/>
                <c:pt idx="0">
                  <c:v>12</c:v>
                </c:pt>
                <c:pt idx="1">
                  <c:v>11</c:v>
                </c:pt>
                <c:pt idx="2">
                  <c:v>0</c:v>
                </c:pt>
                <c:pt idx="3">
                  <c:v>13</c:v>
                </c:pt>
                <c:pt idx="4">
                  <c:v>0</c:v>
                </c:pt>
                <c:pt idx="5">
                  <c:v>26</c:v>
                </c:pt>
                <c:pt idx="6">
                  <c:v>14</c:v>
                </c:pt>
                <c:pt idx="7">
                  <c:v>24</c:v>
                </c:pt>
                <c:pt idx="8">
                  <c:v>36</c:v>
                </c:pt>
                <c:pt idx="9">
                  <c:v>0</c:v>
                </c:pt>
                <c:pt idx="10">
                  <c:v>24</c:v>
                </c:pt>
                <c:pt idx="11">
                  <c:v>0</c:v>
                </c:pt>
                <c:pt idx="12">
                  <c:v>10</c:v>
                </c:pt>
                <c:pt idx="13">
                  <c:v>20</c:v>
                </c:pt>
                <c:pt idx="14">
                  <c:v>26</c:v>
                </c:pt>
                <c:pt idx="15">
                  <c:v>35</c:v>
                </c:pt>
                <c:pt idx="16">
                  <c:v>24</c:v>
                </c:pt>
                <c:pt idx="17">
                  <c:v>9</c:v>
                </c:pt>
                <c:pt idx="18">
                  <c:v>26</c:v>
                </c:pt>
              </c:numCache>
            </c:numRef>
          </c:val>
          <c:extLst>
            <c:ext xmlns:c16="http://schemas.microsoft.com/office/drawing/2014/chart" uri="{C3380CC4-5D6E-409C-BE32-E72D297353CC}">
              <c16:uniqueId val="{00000007-8F2A-40C9-A5AA-02A68787CAD4}"/>
            </c:ext>
          </c:extLst>
        </c:ser>
        <c:ser>
          <c:idx val="1"/>
          <c:order val="1"/>
          <c:tx>
            <c:strRef>
              <c:f>Dashboard!$G$38:$G$39</c:f>
              <c:strCache>
                <c:ptCount val="1"/>
                <c:pt idx="0">
                  <c:v>Out of stock</c:v>
                </c:pt>
              </c:strCache>
            </c:strRef>
          </c:tx>
          <c:spPr>
            <a:solidFill>
              <a:schemeClr val="accent2"/>
            </a:solidFill>
            <a:ln w="19050">
              <a:solidFill>
                <a:schemeClr val="tx1"/>
              </a:solidFill>
            </a:ln>
            <a:effectLst/>
          </c:spPr>
          <c:invertIfNegative val="0"/>
          <c:cat>
            <c:strRef>
              <c:f>Dashboard!$E$40:$E$59</c:f>
              <c:strCache>
                <c:ptCount val="19"/>
                <c:pt idx="0">
                  <c:v>AProd 1</c:v>
                </c:pt>
                <c:pt idx="1">
                  <c:v>AProd 2</c:v>
                </c:pt>
                <c:pt idx="2">
                  <c:v>AProd 3</c:v>
                </c:pt>
                <c:pt idx="3">
                  <c:v>AProd 4</c:v>
                </c:pt>
                <c:pt idx="4">
                  <c:v>AProd 5</c:v>
                </c:pt>
                <c:pt idx="5">
                  <c:v>AProd 6</c:v>
                </c:pt>
                <c:pt idx="6">
                  <c:v>AProd 7</c:v>
                </c:pt>
                <c:pt idx="7">
                  <c:v>AProd 8</c:v>
                </c:pt>
                <c:pt idx="8">
                  <c:v>AProd 9</c:v>
                </c:pt>
                <c:pt idx="9">
                  <c:v>SProd 1</c:v>
                </c:pt>
                <c:pt idx="10">
                  <c:v>SProd 2</c:v>
                </c:pt>
                <c:pt idx="11">
                  <c:v>SProd 3</c:v>
                </c:pt>
                <c:pt idx="12">
                  <c:v>SProd 4</c:v>
                </c:pt>
                <c:pt idx="13">
                  <c:v>B2CProd 1</c:v>
                </c:pt>
                <c:pt idx="14">
                  <c:v>B2CProd 2</c:v>
                </c:pt>
                <c:pt idx="15">
                  <c:v>B2CProd 3</c:v>
                </c:pt>
                <c:pt idx="16">
                  <c:v>B2CProd 4</c:v>
                </c:pt>
                <c:pt idx="17">
                  <c:v>B2CProd 5</c:v>
                </c:pt>
                <c:pt idx="18">
                  <c:v>B2CProd 6</c:v>
                </c:pt>
              </c:strCache>
            </c:strRef>
          </c:cat>
          <c:val>
            <c:numRef>
              <c:f>Dashboard!$G$40:$G$59</c:f>
              <c:numCache>
                <c:formatCode>General</c:formatCode>
                <c:ptCount val="19"/>
                <c:pt idx="0">
                  <c:v>0</c:v>
                </c:pt>
                <c:pt idx="1">
                  <c:v>0</c:v>
                </c:pt>
                <c:pt idx="2">
                  <c:v>-33</c:v>
                </c:pt>
                <c:pt idx="3">
                  <c:v>0</c:v>
                </c:pt>
                <c:pt idx="4">
                  <c:v>-3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8-8F2A-40C9-A5AA-02A68787CAD4}"/>
            </c:ext>
          </c:extLst>
        </c:ser>
        <c:ser>
          <c:idx val="2"/>
          <c:order val="2"/>
          <c:tx>
            <c:strRef>
              <c:f>Dashboard!$H$38:$H$39</c:f>
              <c:strCache>
                <c:ptCount val="1"/>
                <c:pt idx="0">
                  <c:v>Stock running out</c:v>
                </c:pt>
              </c:strCache>
            </c:strRef>
          </c:tx>
          <c:spPr>
            <a:solidFill>
              <a:schemeClr val="accent3"/>
            </a:solidFill>
            <a:ln w="19050">
              <a:solidFill>
                <a:schemeClr val="tx1"/>
              </a:solidFill>
            </a:ln>
            <a:effectLst/>
          </c:spPr>
          <c:invertIfNegative val="0"/>
          <c:cat>
            <c:strRef>
              <c:f>Dashboard!$E$40:$E$59</c:f>
              <c:strCache>
                <c:ptCount val="19"/>
                <c:pt idx="0">
                  <c:v>AProd 1</c:v>
                </c:pt>
                <c:pt idx="1">
                  <c:v>AProd 2</c:v>
                </c:pt>
                <c:pt idx="2">
                  <c:v>AProd 3</c:v>
                </c:pt>
                <c:pt idx="3">
                  <c:v>AProd 4</c:v>
                </c:pt>
                <c:pt idx="4">
                  <c:v>AProd 5</c:v>
                </c:pt>
                <c:pt idx="5">
                  <c:v>AProd 6</c:v>
                </c:pt>
                <c:pt idx="6">
                  <c:v>AProd 7</c:v>
                </c:pt>
                <c:pt idx="7">
                  <c:v>AProd 8</c:v>
                </c:pt>
                <c:pt idx="8">
                  <c:v>AProd 9</c:v>
                </c:pt>
                <c:pt idx="9">
                  <c:v>SProd 1</c:v>
                </c:pt>
                <c:pt idx="10">
                  <c:v>SProd 2</c:v>
                </c:pt>
                <c:pt idx="11">
                  <c:v>SProd 3</c:v>
                </c:pt>
                <c:pt idx="12">
                  <c:v>SProd 4</c:v>
                </c:pt>
                <c:pt idx="13">
                  <c:v>B2CProd 1</c:v>
                </c:pt>
                <c:pt idx="14">
                  <c:v>B2CProd 2</c:v>
                </c:pt>
                <c:pt idx="15">
                  <c:v>B2CProd 3</c:v>
                </c:pt>
                <c:pt idx="16">
                  <c:v>B2CProd 4</c:v>
                </c:pt>
                <c:pt idx="17">
                  <c:v>B2CProd 5</c:v>
                </c:pt>
                <c:pt idx="18">
                  <c:v>B2CProd 6</c:v>
                </c:pt>
              </c:strCache>
            </c:strRef>
          </c:cat>
          <c:val>
            <c:numRef>
              <c:f>Dashboard!$H$40:$H$59</c:f>
              <c:numCache>
                <c:formatCode>General</c:formatCode>
                <c:ptCount val="19"/>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9-8F2A-40C9-A5AA-02A68787CAD4}"/>
            </c:ext>
          </c:extLst>
        </c:ser>
        <c:dLbls>
          <c:dLblPos val="outEnd"/>
          <c:showLegendKey val="0"/>
          <c:showVal val="0"/>
          <c:showCatName val="0"/>
          <c:showSerName val="0"/>
          <c:showPercent val="0"/>
          <c:showBubbleSize val="0"/>
        </c:dLbls>
        <c:gapWidth val="150"/>
        <c:axId val="2067335952"/>
        <c:axId val="2067336368"/>
      </c:barChart>
      <c:catAx>
        <c:axId val="2067335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67336368"/>
        <c:crosses val="autoZero"/>
        <c:auto val="1"/>
        <c:lblAlgn val="ctr"/>
        <c:lblOffset val="100"/>
        <c:noMultiLvlLbl val="0"/>
      </c:catAx>
      <c:valAx>
        <c:axId val="206733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335952"/>
        <c:crosses val="autoZero"/>
        <c:crossBetween val="between"/>
      </c:valAx>
      <c:spPr>
        <a:solidFill>
          <a:schemeClr val="accent1">
            <a:lumMod val="20000"/>
            <a:lumOff val="80000"/>
          </a:schemeClr>
        </a:solidFill>
        <a:ln>
          <a:noFill/>
        </a:ln>
        <a:effectLst/>
      </c:spPr>
    </c:plotArea>
    <c:legend>
      <c:legendPos val="r"/>
      <c:layout>
        <c:manualLayout>
          <c:xMode val="edge"/>
          <c:yMode val="edge"/>
          <c:x val="0.60798017004009464"/>
          <c:y val="1.3606836077308514E-2"/>
          <c:w val="0.38895234529732864"/>
          <c:h val="0.20809860415175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management.xlsm]Dashboard!PivotTable3</c:name>
    <c:fmtId val="0"/>
  </c:pivotSource>
  <c:chart>
    <c:title>
      <c:tx>
        <c:rich>
          <a:bodyPr rot="0" spcFirstLastPara="1" vertOverflow="ellipsis" vert="horz" wrap="square" anchor="ctr" anchorCtr="1"/>
          <a:lstStyle/>
          <a:p>
            <a:pPr>
              <a:defRPr sz="2000" b="1" i="1" u="none" strike="noStrike" kern="1200" spc="0" baseline="0">
                <a:solidFill>
                  <a:schemeClr val="tx1">
                    <a:lumMod val="65000"/>
                    <a:lumOff val="35000"/>
                  </a:schemeClr>
                </a:solidFill>
                <a:latin typeface="+mn-lt"/>
                <a:ea typeface="+mn-ea"/>
                <a:cs typeface="+mn-cs"/>
              </a:defRPr>
            </a:pPr>
            <a:r>
              <a:rPr lang="en-US" sz="2000" b="1" i="1"/>
              <a:t>Profit</a:t>
            </a:r>
          </a:p>
        </c:rich>
      </c:tx>
      <c:layout>
        <c:manualLayout>
          <c:xMode val="edge"/>
          <c:yMode val="edge"/>
          <c:x val="0.43287288442392979"/>
          <c:y val="3.6166785969935569E-2"/>
        </c:manualLayout>
      </c:layout>
      <c:overlay val="0"/>
      <c:spPr>
        <a:noFill/>
        <a:ln>
          <a:noFill/>
        </a:ln>
        <a:effectLst/>
      </c:spPr>
      <c:txPr>
        <a:bodyPr rot="0" spcFirstLastPara="1" vertOverflow="ellipsis" vert="horz" wrap="square" anchor="ctr" anchorCtr="1"/>
        <a:lstStyle/>
        <a:p>
          <a:pPr>
            <a:defRPr sz="2000" b="1"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178839714001268E-2"/>
          <c:y val="0.15995991410164639"/>
          <c:w val="0.8966759435243008"/>
          <c:h val="0.78083536148890498"/>
        </c:manualLayout>
      </c:layout>
      <c:lineChart>
        <c:grouping val="standard"/>
        <c:varyColors val="0"/>
        <c:ser>
          <c:idx val="0"/>
          <c:order val="0"/>
          <c:tx>
            <c:strRef>
              <c:f>Dashboard!$Y$38</c:f>
              <c:strCache>
                <c:ptCount val="1"/>
                <c:pt idx="0">
                  <c:v>Total</c:v>
                </c:pt>
              </c:strCache>
            </c:strRef>
          </c:tx>
          <c:spPr>
            <a:ln w="28575" cap="rnd">
              <a:solidFill>
                <a:schemeClr val="accent1"/>
              </a:solidFill>
              <a:round/>
            </a:ln>
            <a:effectLst/>
          </c:spPr>
          <c:marker>
            <c:symbol val="none"/>
          </c:marker>
          <c:cat>
            <c:strRef>
              <c:f>Dashboard!$X$39:$X$58</c:f>
              <c:strCache>
                <c:ptCount val="19"/>
                <c:pt idx="0">
                  <c:v>AProd 1</c:v>
                </c:pt>
                <c:pt idx="1">
                  <c:v>AProd 2</c:v>
                </c:pt>
                <c:pt idx="2">
                  <c:v>AProd 3</c:v>
                </c:pt>
                <c:pt idx="3">
                  <c:v>AProd 4</c:v>
                </c:pt>
                <c:pt idx="4">
                  <c:v>AProd 5</c:v>
                </c:pt>
                <c:pt idx="5">
                  <c:v>AProd 6</c:v>
                </c:pt>
                <c:pt idx="6">
                  <c:v>AProd 7</c:v>
                </c:pt>
                <c:pt idx="7">
                  <c:v>AProd 8</c:v>
                </c:pt>
                <c:pt idx="8">
                  <c:v>AProd 9</c:v>
                </c:pt>
                <c:pt idx="9">
                  <c:v>SProd 1</c:v>
                </c:pt>
                <c:pt idx="10">
                  <c:v>SProd 2</c:v>
                </c:pt>
                <c:pt idx="11">
                  <c:v>SProd 3</c:v>
                </c:pt>
                <c:pt idx="12">
                  <c:v>SProd 4</c:v>
                </c:pt>
                <c:pt idx="13">
                  <c:v>B2CProd 1</c:v>
                </c:pt>
                <c:pt idx="14">
                  <c:v>B2CProd 2</c:v>
                </c:pt>
                <c:pt idx="15">
                  <c:v>B2CProd 3</c:v>
                </c:pt>
                <c:pt idx="16">
                  <c:v>B2CProd 4</c:v>
                </c:pt>
                <c:pt idx="17">
                  <c:v>B2CProd 5</c:v>
                </c:pt>
                <c:pt idx="18">
                  <c:v>B2CProd 6</c:v>
                </c:pt>
              </c:strCache>
            </c:strRef>
          </c:cat>
          <c:val>
            <c:numRef>
              <c:f>Dashboard!$Y$39:$Y$58</c:f>
              <c:numCache>
                <c:formatCode>General</c:formatCode>
                <c:ptCount val="19"/>
                <c:pt idx="0">
                  <c:v>-1000</c:v>
                </c:pt>
                <c:pt idx="1">
                  <c:v>1800</c:v>
                </c:pt>
                <c:pt idx="2">
                  <c:v>10800</c:v>
                </c:pt>
                <c:pt idx="3">
                  <c:v>0</c:v>
                </c:pt>
                <c:pt idx="4">
                  <c:v>11500</c:v>
                </c:pt>
                <c:pt idx="5">
                  <c:v>0</c:v>
                </c:pt>
                <c:pt idx="6">
                  <c:v>10500</c:v>
                </c:pt>
                <c:pt idx="7">
                  <c:v>0</c:v>
                </c:pt>
                <c:pt idx="8">
                  <c:v>-13500</c:v>
                </c:pt>
                <c:pt idx="9">
                  <c:v>200</c:v>
                </c:pt>
                <c:pt idx="10">
                  <c:v>0</c:v>
                </c:pt>
                <c:pt idx="11">
                  <c:v>1500</c:v>
                </c:pt>
                <c:pt idx="12">
                  <c:v>0</c:v>
                </c:pt>
                <c:pt idx="13">
                  <c:v>0</c:v>
                </c:pt>
                <c:pt idx="14">
                  <c:v>0</c:v>
                </c:pt>
                <c:pt idx="15">
                  <c:v>-1800</c:v>
                </c:pt>
                <c:pt idx="16">
                  <c:v>0</c:v>
                </c:pt>
                <c:pt idx="17">
                  <c:v>5500</c:v>
                </c:pt>
                <c:pt idx="18">
                  <c:v>0</c:v>
                </c:pt>
              </c:numCache>
            </c:numRef>
          </c:val>
          <c:smooth val="0"/>
          <c:extLst>
            <c:ext xmlns:c16="http://schemas.microsoft.com/office/drawing/2014/chart" uri="{C3380CC4-5D6E-409C-BE32-E72D297353CC}">
              <c16:uniqueId val="{00000000-F1FB-40C7-B241-217070979EA2}"/>
            </c:ext>
          </c:extLst>
        </c:ser>
        <c:dLbls>
          <c:showLegendKey val="0"/>
          <c:showVal val="0"/>
          <c:showCatName val="0"/>
          <c:showSerName val="0"/>
          <c:showPercent val="0"/>
          <c:showBubbleSize val="0"/>
        </c:dLbls>
        <c:smooth val="0"/>
        <c:axId val="247266079"/>
        <c:axId val="247274815"/>
      </c:lineChart>
      <c:catAx>
        <c:axId val="247266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274815"/>
        <c:crosses val="autoZero"/>
        <c:auto val="1"/>
        <c:lblAlgn val="ctr"/>
        <c:lblOffset val="100"/>
        <c:noMultiLvlLbl val="0"/>
      </c:catAx>
      <c:valAx>
        <c:axId val="247274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47266079"/>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management.xlsm]Dashboard!PivotTable5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1">
                <a:solidFill>
                  <a:schemeClr val="tx2"/>
                </a:solidFill>
              </a:rPr>
              <a:t>Sales vs</a:t>
            </a:r>
            <a:r>
              <a:rPr lang="en-US" sz="2000" b="1" i="1" baseline="0">
                <a:solidFill>
                  <a:schemeClr val="tx2"/>
                </a:solidFill>
              </a:rPr>
              <a:t> Purchases</a:t>
            </a:r>
            <a:endParaRPr lang="en-US" sz="2000" b="1" i="1">
              <a:solidFill>
                <a:schemeClr val="tx2"/>
              </a:solidFill>
            </a:endParaRPr>
          </a:p>
        </c:rich>
      </c:tx>
      <c:layout>
        <c:manualLayout>
          <c:xMode val="edge"/>
          <c:yMode val="edge"/>
          <c:x val="0.30959519057048862"/>
          <c:y val="3.72448103078024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70917644459938"/>
          <c:y val="0.16450536864710094"/>
          <c:w val="0.78893216760791318"/>
          <c:h val="0.7495286327845383"/>
        </c:manualLayout>
      </c:layout>
      <c:barChart>
        <c:barDir val="bar"/>
        <c:grouping val="clustered"/>
        <c:varyColors val="0"/>
        <c:ser>
          <c:idx val="0"/>
          <c:order val="0"/>
          <c:tx>
            <c:strRef>
              <c:f>Dashboard!$M$38</c:f>
              <c:strCache>
                <c:ptCount val="1"/>
                <c:pt idx="0">
                  <c:v>Total</c:v>
                </c:pt>
              </c:strCache>
            </c:strRef>
          </c:tx>
          <c:spPr>
            <a:solidFill>
              <a:schemeClr val="accent1"/>
            </a:solidFill>
            <a:ln>
              <a:solidFill>
                <a:sysClr val="windowText" lastClr="000000"/>
              </a:solidFill>
            </a:ln>
            <a:effectLst/>
          </c:spPr>
          <c:invertIfNegative val="0"/>
          <c:cat>
            <c:strRef>
              <c:f>Dashboard!$L$39:$L$58</c:f>
              <c:strCache>
                <c:ptCount val="19"/>
                <c:pt idx="0">
                  <c:v>AProd 1</c:v>
                </c:pt>
                <c:pt idx="1">
                  <c:v>AProd 2</c:v>
                </c:pt>
                <c:pt idx="2">
                  <c:v>AProd 3</c:v>
                </c:pt>
                <c:pt idx="3">
                  <c:v>AProd 4</c:v>
                </c:pt>
                <c:pt idx="4">
                  <c:v>AProd 5</c:v>
                </c:pt>
                <c:pt idx="5">
                  <c:v>AProd 6</c:v>
                </c:pt>
                <c:pt idx="6">
                  <c:v>AProd 7</c:v>
                </c:pt>
                <c:pt idx="7">
                  <c:v>AProd 8</c:v>
                </c:pt>
                <c:pt idx="8">
                  <c:v>AProd 9</c:v>
                </c:pt>
                <c:pt idx="9">
                  <c:v>SProd 1</c:v>
                </c:pt>
                <c:pt idx="10">
                  <c:v>SProd 2</c:v>
                </c:pt>
                <c:pt idx="11">
                  <c:v>SProd 3</c:v>
                </c:pt>
                <c:pt idx="12">
                  <c:v>SProd 4</c:v>
                </c:pt>
                <c:pt idx="13">
                  <c:v>B2CProd 1</c:v>
                </c:pt>
                <c:pt idx="14">
                  <c:v>B2CProd 2</c:v>
                </c:pt>
                <c:pt idx="15">
                  <c:v>B2CProd 3</c:v>
                </c:pt>
                <c:pt idx="16">
                  <c:v>B2CProd 4</c:v>
                </c:pt>
                <c:pt idx="17">
                  <c:v>B2CProd 5</c:v>
                </c:pt>
                <c:pt idx="18">
                  <c:v>B2CProd 6</c:v>
                </c:pt>
              </c:strCache>
            </c:strRef>
          </c:cat>
          <c:val>
            <c:numRef>
              <c:f>Dashboard!$M$39:$M$58</c:f>
              <c:numCache>
                <c:formatCode>General</c:formatCode>
                <c:ptCount val="19"/>
                <c:pt idx="0">
                  <c:v>10</c:v>
                </c:pt>
                <c:pt idx="1">
                  <c:v>15</c:v>
                </c:pt>
                <c:pt idx="2">
                  <c:v>0</c:v>
                </c:pt>
                <c:pt idx="3">
                  <c:v>0</c:v>
                </c:pt>
                <c:pt idx="4">
                  <c:v>0</c:v>
                </c:pt>
                <c:pt idx="5">
                  <c:v>0</c:v>
                </c:pt>
                <c:pt idx="6">
                  <c:v>0</c:v>
                </c:pt>
                <c:pt idx="7">
                  <c:v>0</c:v>
                </c:pt>
                <c:pt idx="8">
                  <c:v>15</c:v>
                </c:pt>
                <c:pt idx="9">
                  <c:v>0</c:v>
                </c:pt>
                <c:pt idx="10">
                  <c:v>0</c:v>
                </c:pt>
                <c:pt idx="11">
                  <c:v>0</c:v>
                </c:pt>
                <c:pt idx="12">
                  <c:v>0</c:v>
                </c:pt>
                <c:pt idx="13">
                  <c:v>0</c:v>
                </c:pt>
                <c:pt idx="14">
                  <c:v>0</c:v>
                </c:pt>
                <c:pt idx="15">
                  <c:v>6</c:v>
                </c:pt>
                <c:pt idx="16">
                  <c:v>0</c:v>
                </c:pt>
                <c:pt idx="17">
                  <c:v>0</c:v>
                </c:pt>
                <c:pt idx="18">
                  <c:v>0</c:v>
                </c:pt>
              </c:numCache>
            </c:numRef>
          </c:val>
          <c:extLst>
            <c:ext xmlns:c16="http://schemas.microsoft.com/office/drawing/2014/chart" uri="{C3380CC4-5D6E-409C-BE32-E72D297353CC}">
              <c16:uniqueId val="{00000003-3102-4CC3-9899-C49637356186}"/>
            </c:ext>
          </c:extLst>
        </c:ser>
        <c:dLbls>
          <c:showLegendKey val="0"/>
          <c:showVal val="0"/>
          <c:showCatName val="0"/>
          <c:showSerName val="0"/>
          <c:showPercent val="0"/>
          <c:showBubbleSize val="0"/>
        </c:dLbls>
        <c:gapWidth val="70"/>
        <c:overlap val="-66"/>
        <c:axId val="1402475151"/>
        <c:axId val="1402473487"/>
      </c:barChart>
      <c:catAx>
        <c:axId val="1402475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02473487"/>
        <c:crosses val="autoZero"/>
        <c:auto val="1"/>
        <c:lblAlgn val="ctr"/>
        <c:lblOffset val="100"/>
        <c:noMultiLvlLbl val="0"/>
      </c:catAx>
      <c:valAx>
        <c:axId val="140247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02475151"/>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Stocks sheet'!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Settings!A1"/><Relationship Id="rId4" Type="http://schemas.openxmlformats.org/officeDocument/2006/relationships/hyperlink" Target="#'Data entry'!A1"/><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Stocks sheet'!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Settings!A1"/><Relationship Id="rId4" Type="http://schemas.openxmlformats.org/officeDocument/2006/relationships/hyperlink" Target="#'Data entry'!A1"/><Relationship Id="rId9" Type="http://schemas.openxmlformats.org/officeDocument/2006/relationships/image" Target="../media/image6.svg"/></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hyperlink" Target="#'Stocks sheet'!A1"/><Relationship Id="rId17" Type="http://schemas.openxmlformats.org/officeDocument/2006/relationships/image" Target="../media/image8.svg"/><Relationship Id="rId2" Type="http://schemas.openxmlformats.org/officeDocument/2006/relationships/chart" Target="../charts/chart2.xml"/><Relationship Id="rId16" Type="http://schemas.openxmlformats.org/officeDocument/2006/relationships/image" Target="../media/image7.png"/><Relationship Id="rId1" Type="http://schemas.openxmlformats.org/officeDocument/2006/relationships/chart" Target="../charts/chart1.xml"/><Relationship Id="rId6" Type="http://schemas.openxmlformats.org/officeDocument/2006/relationships/hyperlink" Target="#Dashboard!A1"/><Relationship Id="rId11" Type="http://schemas.openxmlformats.org/officeDocument/2006/relationships/image" Target="../media/image4.svg"/><Relationship Id="rId5" Type="http://schemas.openxmlformats.org/officeDocument/2006/relationships/image" Target="../media/image10.svg"/><Relationship Id="rId15" Type="http://schemas.openxmlformats.org/officeDocument/2006/relationships/hyperlink" Target="#Settings!A1"/><Relationship Id="rId10" Type="http://schemas.openxmlformats.org/officeDocument/2006/relationships/image" Target="../media/image3.png"/><Relationship Id="rId4" Type="http://schemas.openxmlformats.org/officeDocument/2006/relationships/image" Target="../media/image9.png"/><Relationship Id="rId9" Type="http://schemas.openxmlformats.org/officeDocument/2006/relationships/hyperlink" Target="#'Data entry'!A1"/><Relationship Id="rId14" Type="http://schemas.openxmlformats.org/officeDocument/2006/relationships/image" Target="../media/image6.svg"/></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Stocks sheet'!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Settings!A1"/><Relationship Id="rId4" Type="http://schemas.openxmlformats.org/officeDocument/2006/relationships/hyperlink" Target="#'Data entry'!A1"/><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1667468</xdr:colOff>
      <xdr:row>8</xdr:row>
      <xdr:rowOff>129540</xdr:rowOff>
    </xdr:to>
    <xdr:grpSp>
      <xdr:nvGrpSpPr>
        <xdr:cNvPr id="2" name="Group 1">
          <a:hlinkClick xmlns:r="http://schemas.openxmlformats.org/officeDocument/2006/relationships" r:id="rId1"/>
          <a:extLst>
            <a:ext uri="{FF2B5EF4-FFF2-40B4-BE49-F238E27FC236}">
              <a16:creationId xmlns:a16="http://schemas.microsoft.com/office/drawing/2014/main" id="{30C8FBEF-CD94-46BE-9999-A699DEAED1C4}"/>
            </a:ext>
          </a:extLst>
        </xdr:cNvPr>
        <xdr:cNvGrpSpPr/>
      </xdr:nvGrpSpPr>
      <xdr:grpSpPr>
        <a:xfrm>
          <a:off x="121920" y="1143000"/>
          <a:ext cx="1667468" cy="510540"/>
          <a:chOff x="222292" y="1234440"/>
          <a:chExt cx="1667468" cy="510540"/>
        </a:xfrm>
      </xdr:grpSpPr>
      <xdr:pic>
        <xdr:nvPicPr>
          <xdr:cNvPr id="3" name="Graphic 2" descr="Presentation with pie chart">
            <a:extLst>
              <a:ext uri="{FF2B5EF4-FFF2-40B4-BE49-F238E27FC236}">
                <a16:creationId xmlns:a16="http://schemas.microsoft.com/office/drawing/2014/main" id="{DA3F3B1E-09C7-4E66-A626-930378429F2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292" y="1234440"/>
            <a:ext cx="510540" cy="510540"/>
          </a:xfrm>
          <a:prstGeom prst="rect">
            <a:avLst/>
          </a:prstGeom>
        </xdr:spPr>
      </xdr:pic>
      <xdr:sp macro="" textlink="">
        <xdr:nvSpPr>
          <xdr:cNvPr id="4" name="TextBox 3">
            <a:extLst>
              <a:ext uri="{FF2B5EF4-FFF2-40B4-BE49-F238E27FC236}">
                <a16:creationId xmlns:a16="http://schemas.microsoft.com/office/drawing/2014/main" id="{7D57BC17-6340-4D13-9785-F8D4821F354E}"/>
              </a:ext>
            </a:extLst>
          </xdr:cNvPr>
          <xdr:cNvSpPr txBox="1"/>
        </xdr:nvSpPr>
        <xdr:spPr>
          <a:xfrm>
            <a:off x="731520" y="130302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Dashboard</a:t>
            </a:r>
          </a:p>
        </xdr:txBody>
      </xdr:sp>
    </xdr:grpSp>
    <xdr:clientData/>
  </xdr:twoCellAnchor>
  <xdr:twoCellAnchor>
    <xdr:from>
      <xdr:col>1</xdr:col>
      <xdr:colOff>0</xdr:colOff>
      <xdr:row>10</xdr:row>
      <xdr:rowOff>132080</xdr:rowOff>
    </xdr:from>
    <xdr:to>
      <xdr:col>1</xdr:col>
      <xdr:colOff>1652228</xdr:colOff>
      <xdr:row>13</xdr:row>
      <xdr:rowOff>71120</xdr:rowOff>
    </xdr:to>
    <xdr:grpSp>
      <xdr:nvGrpSpPr>
        <xdr:cNvPr id="5" name="Group 4">
          <a:hlinkClick xmlns:r="http://schemas.openxmlformats.org/officeDocument/2006/relationships" r:id="rId4"/>
          <a:extLst>
            <a:ext uri="{FF2B5EF4-FFF2-40B4-BE49-F238E27FC236}">
              <a16:creationId xmlns:a16="http://schemas.microsoft.com/office/drawing/2014/main" id="{AAA439BA-5F67-4919-9CE9-DC1C89043B7C}"/>
            </a:ext>
          </a:extLst>
        </xdr:cNvPr>
        <xdr:cNvGrpSpPr/>
      </xdr:nvGrpSpPr>
      <xdr:grpSpPr>
        <a:xfrm>
          <a:off x="121920" y="2037080"/>
          <a:ext cx="1652228" cy="510540"/>
          <a:chOff x="222292" y="2128520"/>
          <a:chExt cx="1652228" cy="510540"/>
        </a:xfrm>
      </xdr:grpSpPr>
      <xdr:pic>
        <xdr:nvPicPr>
          <xdr:cNvPr id="6" name="Graphic 5" descr="Paper">
            <a:extLst>
              <a:ext uri="{FF2B5EF4-FFF2-40B4-BE49-F238E27FC236}">
                <a16:creationId xmlns:a16="http://schemas.microsoft.com/office/drawing/2014/main" id="{4C3F190F-295F-483C-AAD4-B4AF1DBF7F1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2292" y="2128520"/>
            <a:ext cx="496387" cy="510540"/>
          </a:xfrm>
          <a:prstGeom prst="rect">
            <a:avLst/>
          </a:prstGeom>
        </xdr:spPr>
      </xdr:pic>
      <xdr:sp macro="" textlink="">
        <xdr:nvSpPr>
          <xdr:cNvPr id="7" name="TextBox 6">
            <a:extLst>
              <a:ext uri="{FF2B5EF4-FFF2-40B4-BE49-F238E27FC236}">
                <a16:creationId xmlns:a16="http://schemas.microsoft.com/office/drawing/2014/main" id="{37E3C862-3359-434B-B894-68BDC6FB0DE8}"/>
              </a:ext>
            </a:extLst>
          </xdr:cNvPr>
          <xdr:cNvSpPr txBox="1"/>
        </xdr:nvSpPr>
        <xdr:spPr>
          <a:xfrm>
            <a:off x="716280" y="219710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Data entry</a:t>
            </a:r>
          </a:p>
        </xdr:txBody>
      </xdr:sp>
    </xdr:grpSp>
    <xdr:clientData/>
  </xdr:twoCellAnchor>
  <xdr:twoCellAnchor>
    <xdr:from>
      <xdr:col>1</xdr:col>
      <xdr:colOff>0</xdr:colOff>
      <xdr:row>15</xdr:row>
      <xdr:rowOff>73660</xdr:rowOff>
    </xdr:from>
    <xdr:to>
      <xdr:col>1</xdr:col>
      <xdr:colOff>1652228</xdr:colOff>
      <xdr:row>18</xdr:row>
      <xdr:rowOff>12700</xdr:rowOff>
    </xdr:to>
    <xdr:grpSp>
      <xdr:nvGrpSpPr>
        <xdr:cNvPr id="8" name="Group 7">
          <a:hlinkClick xmlns:r="http://schemas.openxmlformats.org/officeDocument/2006/relationships" r:id="rId7"/>
          <a:extLst>
            <a:ext uri="{FF2B5EF4-FFF2-40B4-BE49-F238E27FC236}">
              <a16:creationId xmlns:a16="http://schemas.microsoft.com/office/drawing/2014/main" id="{ABDF13E7-59A2-4986-A1F2-CFE8835BC977}"/>
            </a:ext>
          </a:extLst>
        </xdr:cNvPr>
        <xdr:cNvGrpSpPr/>
      </xdr:nvGrpSpPr>
      <xdr:grpSpPr>
        <a:xfrm>
          <a:off x="121920" y="2931160"/>
          <a:ext cx="1652228" cy="510540"/>
          <a:chOff x="222292" y="3022600"/>
          <a:chExt cx="1652228" cy="510540"/>
        </a:xfrm>
      </xdr:grpSpPr>
      <xdr:pic>
        <xdr:nvPicPr>
          <xdr:cNvPr id="9" name="Graphic 8" descr="Document">
            <a:extLst>
              <a:ext uri="{FF2B5EF4-FFF2-40B4-BE49-F238E27FC236}">
                <a16:creationId xmlns:a16="http://schemas.microsoft.com/office/drawing/2014/main" id="{590F77CF-CF79-4C80-8B37-ED90851F3C0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22292" y="3022600"/>
            <a:ext cx="510540" cy="510540"/>
          </a:xfrm>
          <a:prstGeom prst="rect">
            <a:avLst/>
          </a:prstGeom>
        </xdr:spPr>
      </xdr:pic>
      <xdr:sp macro="" textlink="">
        <xdr:nvSpPr>
          <xdr:cNvPr id="10" name="TextBox 9">
            <a:extLst>
              <a:ext uri="{FF2B5EF4-FFF2-40B4-BE49-F238E27FC236}">
                <a16:creationId xmlns:a16="http://schemas.microsoft.com/office/drawing/2014/main" id="{7FE88BA7-D8D1-4949-B2EF-C89B98720DC6}"/>
              </a:ext>
            </a:extLst>
          </xdr:cNvPr>
          <xdr:cNvSpPr txBox="1"/>
        </xdr:nvSpPr>
        <xdr:spPr>
          <a:xfrm>
            <a:off x="716280" y="309118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Stock sheet</a:t>
            </a:r>
          </a:p>
        </xdr:txBody>
      </xdr:sp>
    </xdr:grpSp>
    <xdr:clientData/>
  </xdr:twoCellAnchor>
  <xdr:twoCellAnchor>
    <xdr:from>
      <xdr:col>1</xdr:col>
      <xdr:colOff>0</xdr:colOff>
      <xdr:row>20</xdr:row>
      <xdr:rowOff>15240</xdr:rowOff>
    </xdr:from>
    <xdr:to>
      <xdr:col>1</xdr:col>
      <xdr:colOff>1652228</xdr:colOff>
      <xdr:row>22</xdr:row>
      <xdr:rowOff>144780</xdr:rowOff>
    </xdr:to>
    <xdr:grpSp>
      <xdr:nvGrpSpPr>
        <xdr:cNvPr id="11" name="Group 10">
          <a:hlinkClick xmlns:r="http://schemas.openxmlformats.org/officeDocument/2006/relationships" r:id="rId10"/>
          <a:extLst>
            <a:ext uri="{FF2B5EF4-FFF2-40B4-BE49-F238E27FC236}">
              <a16:creationId xmlns:a16="http://schemas.microsoft.com/office/drawing/2014/main" id="{372E25F0-852B-4CC1-A4CE-A0A1C54B3381}"/>
            </a:ext>
          </a:extLst>
        </xdr:cNvPr>
        <xdr:cNvGrpSpPr/>
      </xdr:nvGrpSpPr>
      <xdr:grpSpPr>
        <a:xfrm>
          <a:off x="121920" y="3825240"/>
          <a:ext cx="1652228" cy="510540"/>
          <a:chOff x="222292" y="3916680"/>
          <a:chExt cx="1652228" cy="510540"/>
        </a:xfrm>
      </xdr:grpSpPr>
      <xdr:pic>
        <xdr:nvPicPr>
          <xdr:cNvPr id="12" name="Graphic 11" descr="Gears">
            <a:extLst>
              <a:ext uri="{FF2B5EF4-FFF2-40B4-BE49-F238E27FC236}">
                <a16:creationId xmlns:a16="http://schemas.microsoft.com/office/drawing/2014/main" id="{81856721-B195-45C0-BFEB-93C2835F92C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2292" y="3916680"/>
            <a:ext cx="510540" cy="510540"/>
          </a:xfrm>
          <a:prstGeom prst="rect">
            <a:avLst/>
          </a:prstGeom>
        </xdr:spPr>
      </xdr:pic>
      <xdr:sp macro="" textlink="">
        <xdr:nvSpPr>
          <xdr:cNvPr id="13" name="TextBox 12">
            <a:extLst>
              <a:ext uri="{FF2B5EF4-FFF2-40B4-BE49-F238E27FC236}">
                <a16:creationId xmlns:a16="http://schemas.microsoft.com/office/drawing/2014/main" id="{ADD5736D-5971-4B38-8690-23912B95129C}"/>
              </a:ext>
            </a:extLst>
          </xdr:cNvPr>
          <xdr:cNvSpPr txBox="1"/>
        </xdr:nvSpPr>
        <xdr:spPr>
          <a:xfrm>
            <a:off x="716280" y="398526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Settings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1667468</xdr:colOff>
      <xdr:row>8</xdr:row>
      <xdr:rowOff>129540</xdr:rowOff>
    </xdr:to>
    <xdr:grpSp>
      <xdr:nvGrpSpPr>
        <xdr:cNvPr id="14" name="Group 13">
          <a:hlinkClick xmlns:r="http://schemas.openxmlformats.org/officeDocument/2006/relationships" r:id="rId1"/>
          <a:extLst>
            <a:ext uri="{FF2B5EF4-FFF2-40B4-BE49-F238E27FC236}">
              <a16:creationId xmlns:a16="http://schemas.microsoft.com/office/drawing/2014/main" id="{EEC0E164-15F0-46B4-9A72-89C870C08FD7}"/>
            </a:ext>
          </a:extLst>
        </xdr:cNvPr>
        <xdr:cNvGrpSpPr/>
      </xdr:nvGrpSpPr>
      <xdr:grpSpPr>
        <a:xfrm>
          <a:off x="121920" y="1143000"/>
          <a:ext cx="1667468" cy="510540"/>
          <a:chOff x="222292" y="1234440"/>
          <a:chExt cx="1667468" cy="510540"/>
        </a:xfrm>
      </xdr:grpSpPr>
      <xdr:pic>
        <xdr:nvPicPr>
          <xdr:cNvPr id="15" name="Graphic 14" descr="Presentation with pie chart">
            <a:extLst>
              <a:ext uri="{FF2B5EF4-FFF2-40B4-BE49-F238E27FC236}">
                <a16:creationId xmlns:a16="http://schemas.microsoft.com/office/drawing/2014/main" id="{32E40E7E-D7DC-4250-9523-3236E5B1EA8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292" y="1234440"/>
            <a:ext cx="510540" cy="510540"/>
          </a:xfrm>
          <a:prstGeom prst="rect">
            <a:avLst/>
          </a:prstGeom>
        </xdr:spPr>
      </xdr:pic>
      <xdr:sp macro="" textlink="">
        <xdr:nvSpPr>
          <xdr:cNvPr id="16" name="TextBox 15">
            <a:extLst>
              <a:ext uri="{FF2B5EF4-FFF2-40B4-BE49-F238E27FC236}">
                <a16:creationId xmlns:a16="http://schemas.microsoft.com/office/drawing/2014/main" id="{BE1C2A88-2550-43DD-A0D1-EDE75F79536D}"/>
              </a:ext>
            </a:extLst>
          </xdr:cNvPr>
          <xdr:cNvSpPr txBox="1"/>
        </xdr:nvSpPr>
        <xdr:spPr>
          <a:xfrm>
            <a:off x="731520" y="130302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Dashboard</a:t>
            </a:r>
          </a:p>
        </xdr:txBody>
      </xdr:sp>
    </xdr:grpSp>
    <xdr:clientData/>
  </xdr:twoCellAnchor>
  <xdr:twoCellAnchor>
    <xdr:from>
      <xdr:col>1</xdr:col>
      <xdr:colOff>0</xdr:colOff>
      <xdr:row>10</xdr:row>
      <xdr:rowOff>132080</xdr:rowOff>
    </xdr:from>
    <xdr:to>
      <xdr:col>1</xdr:col>
      <xdr:colOff>1652228</xdr:colOff>
      <xdr:row>13</xdr:row>
      <xdr:rowOff>71120</xdr:rowOff>
    </xdr:to>
    <xdr:grpSp>
      <xdr:nvGrpSpPr>
        <xdr:cNvPr id="17" name="Group 16">
          <a:hlinkClick xmlns:r="http://schemas.openxmlformats.org/officeDocument/2006/relationships" r:id="rId4"/>
          <a:extLst>
            <a:ext uri="{FF2B5EF4-FFF2-40B4-BE49-F238E27FC236}">
              <a16:creationId xmlns:a16="http://schemas.microsoft.com/office/drawing/2014/main" id="{D53CB7A8-4D36-4BD4-AED1-976DBDC9D328}"/>
            </a:ext>
          </a:extLst>
        </xdr:cNvPr>
        <xdr:cNvGrpSpPr/>
      </xdr:nvGrpSpPr>
      <xdr:grpSpPr>
        <a:xfrm>
          <a:off x="121920" y="2037080"/>
          <a:ext cx="1652228" cy="510540"/>
          <a:chOff x="222292" y="2128520"/>
          <a:chExt cx="1652228" cy="510540"/>
        </a:xfrm>
      </xdr:grpSpPr>
      <xdr:pic>
        <xdr:nvPicPr>
          <xdr:cNvPr id="18" name="Graphic 17" descr="Paper">
            <a:extLst>
              <a:ext uri="{FF2B5EF4-FFF2-40B4-BE49-F238E27FC236}">
                <a16:creationId xmlns:a16="http://schemas.microsoft.com/office/drawing/2014/main" id="{C377AE9A-6F77-4413-A710-34E2D00068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2292" y="2128520"/>
            <a:ext cx="496387" cy="510540"/>
          </a:xfrm>
          <a:prstGeom prst="rect">
            <a:avLst/>
          </a:prstGeom>
        </xdr:spPr>
      </xdr:pic>
      <xdr:sp macro="" textlink="">
        <xdr:nvSpPr>
          <xdr:cNvPr id="19" name="TextBox 18">
            <a:extLst>
              <a:ext uri="{FF2B5EF4-FFF2-40B4-BE49-F238E27FC236}">
                <a16:creationId xmlns:a16="http://schemas.microsoft.com/office/drawing/2014/main" id="{002DF40C-0904-4BE2-9562-321E8935D8AA}"/>
              </a:ext>
            </a:extLst>
          </xdr:cNvPr>
          <xdr:cNvSpPr txBox="1"/>
        </xdr:nvSpPr>
        <xdr:spPr>
          <a:xfrm>
            <a:off x="716280" y="219710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Data entry</a:t>
            </a:r>
          </a:p>
        </xdr:txBody>
      </xdr:sp>
    </xdr:grpSp>
    <xdr:clientData/>
  </xdr:twoCellAnchor>
  <xdr:twoCellAnchor>
    <xdr:from>
      <xdr:col>1</xdr:col>
      <xdr:colOff>0</xdr:colOff>
      <xdr:row>15</xdr:row>
      <xdr:rowOff>73660</xdr:rowOff>
    </xdr:from>
    <xdr:to>
      <xdr:col>1</xdr:col>
      <xdr:colOff>1652228</xdr:colOff>
      <xdr:row>18</xdr:row>
      <xdr:rowOff>12700</xdr:rowOff>
    </xdr:to>
    <xdr:grpSp>
      <xdr:nvGrpSpPr>
        <xdr:cNvPr id="20" name="Group 19">
          <a:hlinkClick xmlns:r="http://schemas.openxmlformats.org/officeDocument/2006/relationships" r:id="rId7"/>
          <a:extLst>
            <a:ext uri="{FF2B5EF4-FFF2-40B4-BE49-F238E27FC236}">
              <a16:creationId xmlns:a16="http://schemas.microsoft.com/office/drawing/2014/main" id="{73F7D15F-61E7-4B94-96EA-6FA3712DE561}"/>
            </a:ext>
          </a:extLst>
        </xdr:cNvPr>
        <xdr:cNvGrpSpPr/>
      </xdr:nvGrpSpPr>
      <xdr:grpSpPr>
        <a:xfrm>
          <a:off x="121920" y="2931160"/>
          <a:ext cx="1652228" cy="510540"/>
          <a:chOff x="222292" y="3022600"/>
          <a:chExt cx="1652228" cy="510540"/>
        </a:xfrm>
      </xdr:grpSpPr>
      <xdr:pic>
        <xdr:nvPicPr>
          <xdr:cNvPr id="21" name="Graphic 20" descr="Document">
            <a:extLst>
              <a:ext uri="{FF2B5EF4-FFF2-40B4-BE49-F238E27FC236}">
                <a16:creationId xmlns:a16="http://schemas.microsoft.com/office/drawing/2014/main" id="{2CDCEE87-3396-4DD4-B218-EAD939D41B6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22292" y="3022600"/>
            <a:ext cx="510540" cy="510540"/>
          </a:xfrm>
          <a:prstGeom prst="rect">
            <a:avLst/>
          </a:prstGeom>
        </xdr:spPr>
      </xdr:pic>
      <xdr:sp macro="" textlink="">
        <xdr:nvSpPr>
          <xdr:cNvPr id="22" name="TextBox 21">
            <a:extLst>
              <a:ext uri="{FF2B5EF4-FFF2-40B4-BE49-F238E27FC236}">
                <a16:creationId xmlns:a16="http://schemas.microsoft.com/office/drawing/2014/main" id="{311A09B6-2EF2-4D3B-98C3-2C4BA043C99E}"/>
              </a:ext>
            </a:extLst>
          </xdr:cNvPr>
          <xdr:cNvSpPr txBox="1"/>
        </xdr:nvSpPr>
        <xdr:spPr>
          <a:xfrm>
            <a:off x="716280" y="309118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Stock sheet</a:t>
            </a:r>
          </a:p>
        </xdr:txBody>
      </xdr:sp>
    </xdr:grpSp>
    <xdr:clientData/>
  </xdr:twoCellAnchor>
  <xdr:twoCellAnchor>
    <xdr:from>
      <xdr:col>1</xdr:col>
      <xdr:colOff>0</xdr:colOff>
      <xdr:row>20</xdr:row>
      <xdr:rowOff>15240</xdr:rowOff>
    </xdr:from>
    <xdr:to>
      <xdr:col>1</xdr:col>
      <xdr:colOff>1652228</xdr:colOff>
      <xdr:row>22</xdr:row>
      <xdr:rowOff>144780</xdr:rowOff>
    </xdr:to>
    <xdr:grpSp>
      <xdr:nvGrpSpPr>
        <xdr:cNvPr id="23" name="Group 22">
          <a:hlinkClick xmlns:r="http://schemas.openxmlformats.org/officeDocument/2006/relationships" r:id="rId10"/>
          <a:extLst>
            <a:ext uri="{FF2B5EF4-FFF2-40B4-BE49-F238E27FC236}">
              <a16:creationId xmlns:a16="http://schemas.microsoft.com/office/drawing/2014/main" id="{F2F9ABE1-AD23-4BDA-8D05-C26E5DE14430}"/>
            </a:ext>
          </a:extLst>
        </xdr:cNvPr>
        <xdr:cNvGrpSpPr/>
      </xdr:nvGrpSpPr>
      <xdr:grpSpPr>
        <a:xfrm>
          <a:off x="121920" y="3825240"/>
          <a:ext cx="1652228" cy="510540"/>
          <a:chOff x="222292" y="3916680"/>
          <a:chExt cx="1652228" cy="510540"/>
        </a:xfrm>
      </xdr:grpSpPr>
      <xdr:pic>
        <xdr:nvPicPr>
          <xdr:cNvPr id="24" name="Graphic 23" descr="Gears">
            <a:extLst>
              <a:ext uri="{FF2B5EF4-FFF2-40B4-BE49-F238E27FC236}">
                <a16:creationId xmlns:a16="http://schemas.microsoft.com/office/drawing/2014/main" id="{7B7B9BBA-7259-44E3-B879-CA5B886EA6C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2292" y="3916680"/>
            <a:ext cx="510540" cy="510540"/>
          </a:xfrm>
          <a:prstGeom prst="rect">
            <a:avLst/>
          </a:prstGeom>
        </xdr:spPr>
      </xdr:pic>
      <xdr:sp macro="" textlink="">
        <xdr:nvSpPr>
          <xdr:cNvPr id="25" name="TextBox 24">
            <a:extLst>
              <a:ext uri="{FF2B5EF4-FFF2-40B4-BE49-F238E27FC236}">
                <a16:creationId xmlns:a16="http://schemas.microsoft.com/office/drawing/2014/main" id="{4F7946EC-CD21-4020-9922-C205AC5B718A}"/>
              </a:ext>
            </a:extLst>
          </xdr:cNvPr>
          <xdr:cNvSpPr txBox="1"/>
        </xdr:nvSpPr>
        <xdr:spPr>
          <a:xfrm>
            <a:off x="716280" y="398526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Settings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1</xdr:row>
      <xdr:rowOff>0</xdr:rowOff>
    </xdr:from>
    <xdr:to>
      <xdr:col>18</xdr:col>
      <xdr:colOff>0</xdr:colOff>
      <xdr:row>13</xdr:row>
      <xdr:rowOff>0</xdr:rowOff>
    </xdr:to>
    <xdr:graphicFrame macro="">
      <xdr:nvGraphicFramePr>
        <xdr:cNvPr id="6" name="Chart 5">
          <a:extLst>
            <a:ext uri="{FF2B5EF4-FFF2-40B4-BE49-F238E27FC236}">
              <a16:creationId xmlns:a16="http://schemas.microsoft.com/office/drawing/2014/main" id="{16F4920E-4C71-4490-B04E-807C71360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13</xdr:row>
      <xdr:rowOff>0</xdr:rowOff>
    </xdr:from>
    <xdr:to>
      <xdr:col>10</xdr:col>
      <xdr:colOff>0</xdr:colOff>
      <xdr:row>28</xdr:row>
      <xdr:rowOff>0</xdr:rowOff>
    </xdr:to>
    <xdr:graphicFrame macro="">
      <xdr:nvGraphicFramePr>
        <xdr:cNvPr id="7" name="Chart 6">
          <a:extLst>
            <a:ext uri="{FF2B5EF4-FFF2-40B4-BE49-F238E27FC236}">
              <a16:creationId xmlns:a16="http://schemas.microsoft.com/office/drawing/2014/main" id="{801F5705-984C-4DB0-B306-4ACE16E62C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13</xdr:row>
      <xdr:rowOff>0</xdr:rowOff>
    </xdr:from>
    <xdr:to>
      <xdr:col>15</xdr:col>
      <xdr:colOff>0</xdr:colOff>
      <xdr:row>28</xdr:row>
      <xdr:rowOff>0</xdr:rowOff>
    </xdr:to>
    <xdr:graphicFrame macro="">
      <xdr:nvGraphicFramePr>
        <xdr:cNvPr id="14" name="Chart 13">
          <a:extLst>
            <a:ext uri="{FF2B5EF4-FFF2-40B4-BE49-F238E27FC236}">
              <a16:creationId xmlns:a16="http://schemas.microsoft.com/office/drawing/2014/main" id="{FEA935E4-168B-4486-953E-260437D89F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1371600</xdr:colOff>
      <xdr:row>1</xdr:row>
      <xdr:rowOff>0</xdr:rowOff>
    </xdr:from>
    <xdr:to>
      <xdr:col>3</xdr:col>
      <xdr:colOff>0</xdr:colOff>
      <xdr:row>3</xdr:row>
      <xdr:rowOff>0</xdr:rowOff>
    </xdr:to>
    <xdr:pic macro="[0]!Macro1">
      <xdr:nvPicPr>
        <xdr:cNvPr id="16" name="Graphic 15" descr="Repeat">
          <a:extLst>
            <a:ext uri="{FF2B5EF4-FFF2-40B4-BE49-F238E27FC236}">
              <a16:creationId xmlns:a16="http://schemas.microsoft.com/office/drawing/2014/main" id="{264AFC1B-E218-47C4-A863-EA90476CC9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261360" y="182880"/>
          <a:ext cx="396240" cy="365760"/>
        </a:xfrm>
        <a:prstGeom prst="rect">
          <a:avLst/>
        </a:prstGeom>
      </xdr:spPr>
    </xdr:pic>
    <xdr:clientData/>
  </xdr:twoCellAnchor>
  <xdr:twoCellAnchor editAs="oneCell">
    <xdr:from>
      <xdr:col>2</xdr:col>
      <xdr:colOff>38100</xdr:colOff>
      <xdr:row>3</xdr:row>
      <xdr:rowOff>38101</xdr:rowOff>
    </xdr:from>
    <xdr:to>
      <xdr:col>3</xdr:col>
      <xdr:colOff>38100</xdr:colOff>
      <xdr:row>9</xdr:row>
      <xdr:rowOff>99061</xdr:rowOff>
    </xdr:to>
    <mc:AlternateContent xmlns:mc="http://schemas.openxmlformats.org/markup-compatibility/2006" xmlns:a14="http://schemas.microsoft.com/office/drawing/2010/main">
      <mc:Choice Requires="a14">
        <xdr:graphicFrame macro="">
          <xdr:nvGraphicFramePr>
            <xdr:cNvPr id="20" name="Platform names">
              <a:extLst>
                <a:ext uri="{FF2B5EF4-FFF2-40B4-BE49-F238E27FC236}">
                  <a16:creationId xmlns:a16="http://schemas.microsoft.com/office/drawing/2014/main" id="{53B0F1B3-6290-4DC9-BDFA-4C554403712F}"/>
                </a:ext>
              </a:extLst>
            </xdr:cNvPr>
            <xdr:cNvGraphicFramePr/>
          </xdr:nvGraphicFramePr>
          <xdr:xfrm>
            <a:off x="0" y="0"/>
            <a:ext cx="0" cy="0"/>
          </xdr:xfrm>
          <a:graphic>
            <a:graphicData uri="http://schemas.microsoft.com/office/drawing/2010/slicer">
              <sle:slicer xmlns:sle="http://schemas.microsoft.com/office/drawing/2010/slicer" name="Platform names"/>
            </a:graphicData>
          </a:graphic>
        </xdr:graphicFrame>
      </mc:Choice>
      <mc:Fallback xmlns="">
        <xdr:sp macro="" textlink="">
          <xdr:nvSpPr>
            <xdr:cNvPr id="0" name=""/>
            <xdr:cNvSpPr>
              <a:spLocks noTextEdit="1"/>
            </xdr:cNvSpPr>
          </xdr:nvSpPr>
          <xdr:spPr>
            <a:xfrm>
              <a:off x="1927860" y="769621"/>
              <a:ext cx="1767840" cy="1158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30480</xdr:colOff>
      <xdr:row>10</xdr:row>
      <xdr:rowOff>30480</xdr:rowOff>
    </xdr:from>
    <xdr:to>
      <xdr:col>3</xdr:col>
      <xdr:colOff>30480</xdr:colOff>
      <xdr:row>18</xdr:row>
      <xdr:rowOff>160020</xdr:rowOff>
    </xdr:to>
    <mc:AlternateContent xmlns:mc="http://schemas.openxmlformats.org/markup-compatibility/2006" xmlns:a14="http://schemas.microsoft.com/office/drawing/2010/main">
      <mc:Choice Requires="a14">
        <xdr:graphicFrame macro="">
          <xdr:nvGraphicFramePr>
            <xdr:cNvPr id="23" name="Product names">
              <a:extLst>
                <a:ext uri="{FF2B5EF4-FFF2-40B4-BE49-F238E27FC236}">
                  <a16:creationId xmlns:a16="http://schemas.microsoft.com/office/drawing/2014/main" id="{2150225C-077F-4FBD-A63F-23B7D6FE3751}"/>
                </a:ext>
              </a:extLst>
            </xdr:cNvPr>
            <xdr:cNvGraphicFramePr/>
          </xdr:nvGraphicFramePr>
          <xdr:xfrm>
            <a:off x="0" y="0"/>
            <a:ext cx="0" cy="0"/>
          </xdr:xfrm>
          <a:graphic>
            <a:graphicData uri="http://schemas.microsoft.com/office/drawing/2010/slicer">
              <sle:slicer xmlns:sle="http://schemas.microsoft.com/office/drawing/2010/slicer" name="Product names"/>
            </a:graphicData>
          </a:graphic>
        </xdr:graphicFrame>
      </mc:Choice>
      <mc:Fallback xmlns="">
        <xdr:sp macro="" textlink="">
          <xdr:nvSpPr>
            <xdr:cNvPr id="0" name=""/>
            <xdr:cNvSpPr>
              <a:spLocks noTextEdit="1"/>
            </xdr:cNvSpPr>
          </xdr:nvSpPr>
          <xdr:spPr>
            <a:xfrm>
              <a:off x="1920240" y="2042160"/>
              <a:ext cx="1767840" cy="1592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5</xdr:row>
      <xdr:rowOff>0</xdr:rowOff>
    </xdr:from>
    <xdr:to>
      <xdr:col>1</xdr:col>
      <xdr:colOff>1667468</xdr:colOff>
      <xdr:row>7</xdr:row>
      <xdr:rowOff>144780</xdr:rowOff>
    </xdr:to>
    <xdr:grpSp>
      <xdr:nvGrpSpPr>
        <xdr:cNvPr id="40" name="Group 39">
          <a:hlinkClick xmlns:r="http://schemas.openxmlformats.org/officeDocument/2006/relationships" r:id="rId6"/>
          <a:extLst>
            <a:ext uri="{FF2B5EF4-FFF2-40B4-BE49-F238E27FC236}">
              <a16:creationId xmlns:a16="http://schemas.microsoft.com/office/drawing/2014/main" id="{29A088BD-03E3-417C-85DC-0CBEAA816A50}"/>
            </a:ext>
          </a:extLst>
        </xdr:cNvPr>
        <xdr:cNvGrpSpPr/>
      </xdr:nvGrpSpPr>
      <xdr:grpSpPr>
        <a:xfrm>
          <a:off x="118533" y="931333"/>
          <a:ext cx="1667468" cy="517314"/>
          <a:chOff x="222292" y="1234440"/>
          <a:chExt cx="1667468" cy="510540"/>
        </a:xfrm>
      </xdr:grpSpPr>
      <xdr:pic>
        <xdr:nvPicPr>
          <xdr:cNvPr id="41" name="Graphic 40" descr="Presentation with pie chart">
            <a:extLst>
              <a:ext uri="{FF2B5EF4-FFF2-40B4-BE49-F238E27FC236}">
                <a16:creationId xmlns:a16="http://schemas.microsoft.com/office/drawing/2014/main" id="{E6FC7452-8EEC-47BF-BAD7-EB3CBB56494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2292" y="1234440"/>
            <a:ext cx="510540" cy="510540"/>
          </a:xfrm>
          <a:prstGeom prst="rect">
            <a:avLst/>
          </a:prstGeom>
        </xdr:spPr>
      </xdr:pic>
      <xdr:sp macro="" textlink="">
        <xdr:nvSpPr>
          <xdr:cNvPr id="42" name="TextBox 41">
            <a:extLst>
              <a:ext uri="{FF2B5EF4-FFF2-40B4-BE49-F238E27FC236}">
                <a16:creationId xmlns:a16="http://schemas.microsoft.com/office/drawing/2014/main" id="{09CA4100-A695-4D92-9707-1CD2E96F1F8C}"/>
              </a:ext>
            </a:extLst>
          </xdr:cNvPr>
          <xdr:cNvSpPr txBox="1"/>
        </xdr:nvSpPr>
        <xdr:spPr>
          <a:xfrm>
            <a:off x="731520" y="130302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Dashboard</a:t>
            </a:r>
          </a:p>
        </xdr:txBody>
      </xdr:sp>
    </xdr:grpSp>
    <xdr:clientData/>
  </xdr:twoCellAnchor>
  <xdr:twoCellAnchor>
    <xdr:from>
      <xdr:col>1</xdr:col>
      <xdr:colOff>0</xdr:colOff>
      <xdr:row>9</xdr:row>
      <xdr:rowOff>162560</xdr:rowOff>
    </xdr:from>
    <xdr:to>
      <xdr:col>1</xdr:col>
      <xdr:colOff>1652228</xdr:colOff>
      <xdr:row>12</xdr:row>
      <xdr:rowOff>124460</xdr:rowOff>
    </xdr:to>
    <xdr:grpSp>
      <xdr:nvGrpSpPr>
        <xdr:cNvPr id="43" name="Group 42">
          <a:hlinkClick xmlns:r="http://schemas.openxmlformats.org/officeDocument/2006/relationships" r:id="rId9"/>
          <a:extLst>
            <a:ext uri="{FF2B5EF4-FFF2-40B4-BE49-F238E27FC236}">
              <a16:creationId xmlns:a16="http://schemas.microsoft.com/office/drawing/2014/main" id="{D132B788-F960-41F3-9D42-294F8EA320D5}"/>
            </a:ext>
          </a:extLst>
        </xdr:cNvPr>
        <xdr:cNvGrpSpPr/>
      </xdr:nvGrpSpPr>
      <xdr:grpSpPr>
        <a:xfrm>
          <a:off x="118533" y="1838960"/>
          <a:ext cx="1652228" cy="520700"/>
          <a:chOff x="222292" y="2128520"/>
          <a:chExt cx="1652228" cy="510540"/>
        </a:xfrm>
      </xdr:grpSpPr>
      <xdr:pic>
        <xdr:nvPicPr>
          <xdr:cNvPr id="44" name="Graphic 43" descr="Paper">
            <a:extLst>
              <a:ext uri="{FF2B5EF4-FFF2-40B4-BE49-F238E27FC236}">
                <a16:creationId xmlns:a16="http://schemas.microsoft.com/office/drawing/2014/main" id="{D5F19326-BBB3-46BA-BC9B-D4A3944D049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22292" y="2128520"/>
            <a:ext cx="496387" cy="510540"/>
          </a:xfrm>
          <a:prstGeom prst="rect">
            <a:avLst/>
          </a:prstGeom>
        </xdr:spPr>
      </xdr:pic>
      <xdr:sp macro="" textlink="">
        <xdr:nvSpPr>
          <xdr:cNvPr id="45" name="TextBox 44">
            <a:extLst>
              <a:ext uri="{FF2B5EF4-FFF2-40B4-BE49-F238E27FC236}">
                <a16:creationId xmlns:a16="http://schemas.microsoft.com/office/drawing/2014/main" id="{9E8A6389-067C-4E66-B573-6F83719902C6}"/>
              </a:ext>
            </a:extLst>
          </xdr:cNvPr>
          <xdr:cNvSpPr txBox="1"/>
        </xdr:nvSpPr>
        <xdr:spPr>
          <a:xfrm>
            <a:off x="716280" y="219710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Data entry</a:t>
            </a:r>
          </a:p>
        </xdr:txBody>
      </xdr:sp>
    </xdr:grpSp>
    <xdr:clientData/>
  </xdr:twoCellAnchor>
  <xdr:twoCellAnchor>
    <xdr:from>
      <xdr:col>1</xdr:col>
      <xdr:colOff>0</xdr:colOff>
      <xdr:row>14</xdr:row>
      <xdr:rowOff>142240</xdr:rowOff>
    </xdr:from>
    <xdr:to>
      <xdr:col>1</xdr:col>
      <xdr:colOff>1652228</xdr:colOff>
      <xdr:row>17</xdr:row>
      <xdr:rowOff>104140</xdr:rowOff>
    </xdr:to>
    <xdr:grpSp>
      <xdr:nvGrpSpPr>
        <xdr:cNvPr id="46" name="Group 45">
          <a:hlinkClick xmlns:r="http://schemas.openxmlformats.org/officeDocument/2006/relationships" r:id="rId12"/>
          <a:extLst>
            <a:ext uri="{FF2B5EF4-FFF2-40B4-BE49-F238E27FC236}">
              <a16:creationId xmlns:a16="http://schemas.microsoft.com/office/drawing/2014/main" id="{8A1BA214-D1D9-4D0C-9A31-E8A66A58EB45}"/>
            </a:ext>
          </a:extLst>
        </xdr:cNvPr>
        <xdr:cNvGrpSpPr/>
      </xdr:nvGrpSpPr>
      <xdr:grpSpPr>
        <a:xfrm>
          <a:off x="118533" y="2749973"/>
          <a:ext cx="1652228" cy="520700"/>
          <a:chOff x="222292" y="3022600"/>
          <a:chExt cx="1652228" cy="510540"/>
        </a:xfrm>
      </xdr:grpSpPr>
      <xdr:pic>
        <xdr:nvPicPr>
          <xdr:cNvPr id="47" name="Graphic 46" descr="Document">
            <a:extLst>
              <a:ext uri="{FF2B5EF4-FFF2-40B4-BE49-F238E27FC236}">
                <a16:creationId xmlns:a16="http://schemas.microsoft.com/office/drawing/2014/main" id="{510F9985-1919-4867-9864-5D2313C9F23B}"/>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22292" y="3022600"/>
            <a:ext cx="510540" cy="510540"/>
          </a:xfrm>
          <a:prstGeom prst="rect">
            <a:avLst/>
          </a:prstGeom>
        </xdr:spPr>
      </xdr:pic>
      <xdr:sp macro="" textlink="">
        <xdr:nvSpPr>
          <xdr:cNvPr id="48" name="TextBox 47">
            <a:extLst>
              <a:ext uri="{FF2B5EF4-FFF2-40B4-BE49-F238E27FC236}">
                <a16:creationId xmlns:a16="http://schemas.microsoft.com/office/drawing/2014/main" id="{B51F2630-87EC-49B5-B9C4-D782DA946F03}"/>
              </a:ext>
            </a:extLst>
          </xdr:cNvPr>
          <xdr:cNvSpPr txBox="1"/>
        </xdr:nvSpPr>
        <xdr:spPr>
          <a:xfrm>
            <a:off x="716280" y="309118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Stock sheet</a:t>
            </a:r>
          </a:p>
        </xdr:txBody>
      </xdr:sp>
    </xdr:grpSp>
    <xdr:clientData/>
  </xdr:twoCellAnchor>
  <xdr:twoCellAnchor>
    <xdr:from>
      <xdr:col>1</xdr:col>
      <xdr:colOff>0</xdr:colOff>
      <xdr:row>19</xdr:row>
      <xdr:rowOff>121920</xdr:rowOff>
    </xdr:from>
    <xdr:to>
      <xdr:col>1</xdr:col>
      <xdr:colOff>1652228</xdr:colOff>
      <xdr:row>22</xdr:row>
      <xdr:rowOff>83820</xdr:rowOff>
    </xdr:to>
    <xdr:grpSp>
      <xdr:nvGrpSpPr>
        <xdr:cNvPr id="49" name="Group 48">
          <a:hlinkClick xmlns:r="http://schemas.openxmlformats.org/officeDocument/2006/relationships" r:id="rId15"/>
          <a:extLst>
            <a:ext uri="{FF2B5EF4-FFF2-40B4-BE49-F238E27FC236}">
              <a16:creationId xmlns:a16="http://schemas.microsoft.com/office/drawing/2014/main" id="{021BC12A-CE9C-499C-9DBB-72D3CA2EEA38}"/>
            </a:ext>
          </a:extLst>
        </xdr:cNvPr>
        <xdr:cNvGrpSpPr/>
      </xdr:nvGrpSpPr>
      <xdr:grpSpPr>
        <a:xfrm>
          <a:off x="118533" y="3660987"/>
          <a:ext cx="1652228" cy="520700"/>
          <a:chOff x="222292" y="3916680"/>
          <a:chExt cx="1652228" cy="510540"/>
        </a:xfrm>
      </xdr:grpSpPr>
      <xdr:pic>
        <xdr:nvPicPr>
          <xdr:cNvPr id="50" name="Graphic 49" descr="Gears">
            <a:extLst>
              <a:ext uri="{FF2B5EF4-FFF2-40B4-BE49-F238E27FC236}">
                <a16:creationId xmlns:a16="http://schemas.microsoft.com/office/drawing/2014/main" id="{0B8196CE-3AE7-4136-91CD-E4BAD2FE4EC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22292" y="3916680"/>
            <a:ext cx="510540" cy="510540"/>
          </a:xfrm>
          <a:prstGeom prst="rect">
            <a:avLst/>
          </a:prstGeom>
        </xdr:spPr>
      </xdr:pic>
      <xdr:sp macro="" textlink="">
        <xdr:nvSpPr>
          <xdr:cNvPr id="51" name="TextBox 50">
            <a:extLst>
              <a:ext uri="{FF2B5EF4-FFF2-40B4-BE49-F238E27FC236}">
                <a16:creationId xmlns:a16="http://schemas.microsoft.com/office/drawing/2014/main" id="{7CA05C56-78FF-4170-B484-2FFBC5323C02}"/>
              </a:ext>
            </a:extLst>
          </xdr:cNvPr>
          <xdr:cNvSpPr txBox="1"/>
        </xdr:nvSpPr>
        <xdr:spPr>
          <a:xfrm>
            <a:off x="716280" y="398526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Settings</a:t>
            </a:r>
          </a:p>
        </xdr:txBody>
      </xdr:sp>
    </xdr:grpSp>
    <xdr:clientData/>
  </xdr:twoCellAnchor>
  <xdr:twoCellAnchor editAs="oneCell">
    <xdr:from>
      <xdr:col>2</xdr:col>
      <xdr:colOff>30480</xdr:colOff>
      <xdr:row>19</xdr:row>
      <xdr:rowOff>60961</xdr:rowOff>
    </xdr:from>
    <xdr:to>
      <xdr:col>3</xdr:col>
      <xdr:colOff>91440</xdr:colOff>
      <xdr:row>25</xdr:row>
      <xdr:rowOff>60961</xdr:rowOff>
    </xdr:to>
    <mc:AlternateContent xmlns:mc="http://schemas.openxmlformats.org/markup-compatibility/2006" xmlns:a14="http://schemas.microsoft.com/office/drawing/2010/main">
      <mc:Choice Requires="a14">
        <xdr:graphicFrame macro="">
          <xdr:nvGraphicFramePr>
            <xdr:cNvPr id="2" name="Stock status">
              <a:extLst>
                <a:ext uri="{FF2B5EF4-FFF2-40B4-BE49-F238E27FC236}">
                  <a16:creationId xmlns:a16="http://schemas.microsoft.com/office/drawing/2014/main" id="{08835AE5-3A12-4BFB-B2A9-369DC618A969}"/>
                </a:ext>
              </a:extLst>
            </xdr:cNvPr>
            <xdr:cNvGraphicFramePr/>
          </xdr:nvGraphicFramePr>
          <xdr:xfrm>
            <a:off x="0" y="0"/>
            <a:ext cx="0" cy="0"/>
          </xdr:xfrm>
          <a:graphic>
            <a:graphicData uri="http://schemas.microsoft.com/office/drawing/2010/slicer">
              <sle:slicer xmlns:sle="http://schemas.microsoft.com/office/drawing/2010/slicer" name="Stock status"/>
            </a:graphicData>
          </a:graphic>
        </xdr:graphicFrame>
      </mc:Choice>
      <mc:Fallback xmlns="">
        <xdr:sp macro="" textlink="">
          <xdr:nvSpPr>
            <xdr:cNvPr id="0" name=""/>
            <xdr:cNvSpPr>
              <a:spLocks noTextEdit="1"/>
            </xdr:cNvSpPr>
          </xdr:nvSpPr>
          <xdr:spPr>
            <a:xfrm>
              <a:off x="1920240" y="3718561"/>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4</xdr:row>
      <xdr:rowOff>167640</xdr:rowOff>
    </xdr:from>
    <xdr:to>
      <xdr:col>8</xdr:col>
      <xdr:colOff>0</xdr:colOff>
      <xdr:row>9</xdr:row>
      <xdr:rowOff>0</xdr:rowOff>
    </xdr:to>
    <xdr:sp macro="" textlink="$S$61">
      <xdr:nvSpPr>
        <xdr:cNvPr id="22" name="TextBox 21">
          <a:extLst>
            <a:ext uri="{FF2B5EF4-FFF2-40B4-BE49-F238E27FC236}">
              <a16:creationId xmlns:a16="http://schemas.microsoft.com/office/drawing/2014/main" id="{B28D85C1-4236-4714-9CC3-7D2F2AC0A244}"/>
            </a:ext>
          </a:extLst>
        </xdr:cNvPr>
        <xdr:cNvSpPr txBox="1"/>
      </xdr:nvSpPr>
      <xdr:spPr>
        <a:xfrm>
          <a:off x="5257800" y="899160"/>
          <a:ext cx="1478280" cy="74676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2AAD0-73E1-4702-99F6-DA42CAC32AD3}" type="TxLink">
            <a:rPr lang="en-US" sz="2000" b="1" i="0" u="none" strike="noStrike">
              <a:solidFill>
                <a:schemeClr val="tx2"/>
              </a:solidFill>
              <a:latin typeface="Calibri"/>
              <a:cs typeface="Calibri"/>
            </a:rPr>
            <a:pPr algn="ctr"/>
            <a:t> £19,300.00 </a:t>
          </a:fld>
          <a:endParaRPr lang="en-US" sz="2000" b="1">
            <a:solidFill>
              <a:schemeClr val="tx2"/>
            </a:solidFill>
          </a:endParaRPr>
        </a:p>
      </xdr:txBody>
    </xdr:sp>
    <xdr:clientData/>
  </xdr:twoCellAnchor>
  <xdr:twoCellAnchor>
    <xdr:from>
      <xdr:col>6</xdr:col>
      <xdr:colOff>0</xdr:colOff>
      <xdr:row>9</xdr:row>
      <xdr:rowOff>0</xdr:rowOff>
    </xdr:from>
    <xdr:to>
      <xdr:col>8</xdr:col>
      <xdr:colOff>0</xdr:colOff>
      <xdr:row>13</xdr:row>
      <xdr:rowOff>0</xdr:rowOff>
    </xdr:to>
    <xdr:sp macro="" textlink="$T$61">
      <xdr:nvSpPr>
        <xdr:cNvPr id="24" name="TextBox 23">
          <a:extLst>
            <a:ext uri="{FF2B5EF4-FFF2-40B4-BE49-F238E27FC236}">
              <a16:creationId xmlns:a16="http://schemas.microsoft.com/office/drawing/2014/main" id="{79AC0645-6501-4A3C-B74F-7B7FA5740D7B}"/>
            </a:ext>
          </a:extLst>
        </xdr:cNvPr>
        <xdr:cNvSpPr txBox="1"/>
      </xdr:nvSpPr>
      <xdr:spPr>
        <a:xfrm>
          <a:off x="5257800" y="1645920"/>
          <a:ext cx="1478280" cy="73152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DA2CB3-443B-4E8D-80BF-E6F06867C6AA}" type="TxLink">
            <a:rPr lang="en-US" sz="2000" b="1" i="0" u="none" strike="noStrike">
              <a:solidFill>
                <a:schemeClr val="tx2"/>
              </a:solidFill>
              <a:latin typeface="Calibri"/>
              <a:cs typeface="Calibri"/>
            </a:rPr>
            <a:pPr algn="ctr"/>
            <a:t> £44,800.00 </a:t>
          </a:fld>
          <a:endParaRPr lang="en-US" sz="2000" b="1">
            <a:solidFill>
              <a:schemeClr val="tx2"/>
            </a:solidFill>
          </a:endParaRPr>
        </a:p>
      </xdr:txBody>
    </xdr:sp>
    <xdr:clientData/>
  </xdr:twoCellAnchor>
  <xdr:twoCellAnchor>
    <xdr:from>
      <xdr:col>6</xdr:col>
      <xdr:colOff>0</xdr:colOff>
      <xdr:row>1</xdr:row>
      <xdr:rowOff>0</xdr:rowOff>
    </xdr:from>
    <xdr:to>
      <xdr:col>8</xdr:col>
      <xdr:colOff>0</xdr:colOff>
      <xdr:row>5</xdr:row>
      <xdr:rowOff>0</xdr:rowOff>
    </xdr:to>
    <xdr:sp macro="" textlink="Y61">
      <xdr:nvSpPr>
        <xdr:cNvPr id="25" name="TextBox 24">
          <a:extLst>
            <a:ext uri="{FF2B5EF4-FFF2-40B4-BE49-F238E27FC236}">
              <a16:creationId xmlns:a16="http://schemas.microsoft.com/office/drawing/2014/main" id="{E086CA03-6E27-4CE0-9A4A-47F6989A1DE4}"/>
            </a:ext>
          </a:extLst>
        </xdr:cNvPr>
        <xdr:cNvSpPr txBox="1"/>
      </xdr:nvSpPr>
      <xdr:spPr>
        <a:xfrm>
          <a:off x="5249333" y="186267"/>
          <a:ext cx="1473200" cy="745066"/>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9E0425-4BFF-4B96-A484-71F015E75552}" type="TxLink">
            <a:rPr lang="en-US" sz="2000" b="1" i="0" u="none" strike="noStrike">
              <a:solidFill>
                <a:schemeClr val="tx2"/>
              </a:solidFill>
              <a:latin typeface="Calibri"/>
              <a:cs typeface="Calibri"/>
            </a:rPr>
            <a:pPr algn="ctr"/>
            <a:t> £25,500.00 </a:t>
          </a:fld>
          <a:endParaRPr lang="en-US" sz="2000" b="1">
            <a:solidFill>
              <a:schemeClr val="tx2"/>
            </a:solidFill>
          </a:endParaRPr>
        </a:p>
      </xdr:txBody>
    </xdr:sp>
    <xdr:clientData/>
  </xdr:twoCellAnchor>
  <xdr:twoCellAnchor>
    <xdr:from>
      <xdr:col>4</xdr:col>
      <xdr:colOff>0</xdr:colOff>
      <xdr:row>1</xdr:row>
      <xdr:rowOff>0</xdr:rowOff>
    </xdr:from>
    <xdr:to>
      <xdr:col>6</xdr:col>
      <xdr:colOff>0</xdr:colOff>
      <xdr:row>5</xdr:row>
      <xdr:rowOff>0</xdr:rowOff>
    </xdr:to>
    <xdr:sp macro="" textlink="">
      <xdr:nvSpPr>
        <xdr:cNvPr id="26" name="TextBox 25">
          <a:extLst>
            <a:ext uri="{FF2B5EF4-FFF2-40B4-BE49-F238E27FC236}">
              <a16:creationId xmlns:a16="http://schemas.microsoft.com/office/drawing/2014/main" id="{C74BAC09-7726-407F-AC04-C896495D9D1B}"/>
            </a:ext>
          </a:extLst>
        </xdr:cNvPr>
        <xdr:cNvSpPr txBox="1"/>
      </xdr:nvSpPr>
      <xdr:spPr>
        <a:xfrm>
          <a:off x="3779520" y="182880"/>
          <a:ext cx="1478280" cy="73152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2"/>
              </a:solidFill>
            </a:rPr>
            <a:t>Profit</a:t>
          </a:r>
        </a:p>
      </xdr:txBody>
    </xdr:sp>
    <xdr:clientData/>
  </xdr:twoCellAnchor>
  <xdr:twoCellAnchor>
    <xdr:from>
      <xdr:col>4</xdr:col>
      <xdr:colOff>0</xdr:colOff>
      <xdr:row>5</xdr:row>
      <xdr:rowOff>0</xdr:rowOff>
    </xdr:from>
    <xdr:to>
      <xdr:col>6</xdr:col>
      <xdr:colOff>0</xdr:colOff>
      <xdr:row>9</xdr:row>
      <xdr:rowOff>0</xdr:rowOff>
    </xdr:to>
    <xdr:sp macro="" textlink="">
      <xdr:nvSpPr>
        <xdr:cNvPr id="27" name="TextBox 26">
          <a:extLst>
            <a:ext uri="{FF2B5EF4-FFF2-40B4-BE49-F238E27FC236}">
              <a16:creationId xmlns:a16="http://schemas.microsoft.com/office/drawing/2014/main" id="{F11D815B-7C66-4E27-B434-0C29A26F29B9}"/>
            </a:ext>
          </a:extLst>
        </xdr:cNvPr>
        <xdr:cNvSpPr txBox="1"/>
      </xdr:nvSpPr>
      <xdr:spPr>
        <a:xfrm>
          <a:off x="3779520" y="914400"/>
          <a:ext cx="1478280" cy="73152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2"/>
              </a:solidFill>
            </a:rPr>
            <a:t>Purchases</a:t>
          </a:r>
        </a:p>
      </xdr:txBody>
    </xdr:sp>
    <xdr:clientData/>
  </xdr:twoCellAnchor>
  <xdr:twoCellAnchor>
    <xdr:from>
      <xdr:col>4</xdr:col>
      <xdr:colOff>0</xdr:colOff>
      <xdr:row>9</xdr:row>
      <xdr:rowOff>0</xdr:rowOff>
    </xdr:from>
    <xdr:to>
      <xdr:col>6</xdr:col>
      <xdr:colOff>0</xdr:colOff>
      <xdr:row>13</xdr:row>
      <xdr:rowOff>0</xdr:rowOff>
    </xdr:to>
    <xdr:sp macro="" textlink="">
      <xdr:nvSpPr>
        <xdr:cNvPr id="28" name="TextBox 27">
          <a:extLst>
            <a:ext uri="{FF2B5EF4-FFF2-40B4-BE49-F238E27FC236}">
              <a16:creationId xmlns:a16="http://schemas.microsoft.com/office/drawing/2014/main" id="{28E4E9C1-E816-4A4B-AAC6-73D9AAAAB1C0}"/>
            </a:ext>
          </a:extLst>
        </xdr:cNvPr>
        <xdr:cNvSpPr txBox="1"/>
      </xdr:nvSpPr>
      <xdr:spPr>
        <a:xfrm>
          <a:off x="3779520" y="1645920"/>
          <a:ext cx="1478280" cy="73152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2"/>
              </a:solidFill>
            </a:rPr>
            <a:t>Sales</a:t>
          </a:r>
        </a:p>
      </xdr:txBody>
    </xdr:sp>
    <xdr:clientData/>
  </xdr:twoCellAnchor>
  <xdr:twoCellAnchor>
    <xdr:from>
      <xdr:col>15</xdr:col>
      <xdr:colOff>0</xdr:colOff>
      <xdr:row>13</xdr:row>
      <xdr:rowOff>0</xdr:rowOff>
    </xdr:from>
    <xdr:to>
      <xdr:col>17</xdr:col>
      <xdr:colOff>0</xdr:colOff>
      <xdr:row>16</xdr:row>
      <xdr:rowOff>0</xdr:rowOff>
    </xdr:to>
    <xdr:sp macro="" textlink="">
      <xdr:nvSpPr>
        <xdr:cNvPr id="29" name="TextBox 28">
          <a:extLst>
            <a:ext uri="{FF2B5EF4-FFF2-40B4-BE49-F238E27FC236}">
              <a16:creationId xmlns:a16="http://schemas.microsoft.com/office/drawing/2014/main" id="{A2FF20C3-423D-4545-8286-DD70FFCD4710}"/>
            </a:ext>
          </a:extLst>
        </xdr:cNvPr>
        <xdr:cNvSpPr txBox="1"/>
      </xdr:nvSpPr>
      <xdr:spPr>
        <a:xfrm>
          <a:off x="12403667" y="2421467"/>
          <a:ext cx="1473200"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Labels</a:t>
          </a:r>
        </a:p>
      </xdr:txBody>
    </xdr:sp>
    <xdr:clientData/>
  </xdr:twoCellAnchor>
  <xdr:twoCellAnchor>
    <xdr:from>
      <xdr:col>15</xdr:col>
      <xdr:colOff>0</xdr:colOff>
      <xdr:row>16</xdr:row>
      <xdr:rowOff>0</xdr:rowOff>
    </xdr:from>
    <xdr:to>
      <xdr:col>17</xdr:col>
      <xdr:colOff>0</xdr:colOff>
      <xdr:row>19</xdr:row>
      <xdr:rowOff>0</xdr:rowOff>
    </xdr:to>
    <xdr:sp macro="" textlink="">
      <xdr:nvSpPr>
        <xdr:cNvPr id="34" name="TextBox 33">
          <a:extLst>
            <a:ext uri="{FF2B5EF4-FFF2-40B4-BE49-F238E27FC236}">
              <a16:creationId xmlns:a16="http://schemas.microsoft.com/office/drawing/2014/main" id="{0BF7A79C-1BBE-49C7-8107-D1A549DFAE90}"/>
            </a:ext>
          </a:extLst>
        </xdr:cNvPr>
        <xdr:cNvSpPr txBox="1"/>
      </xdr:nvSpPr>
      <xdr:spPr>
        <a:xfrm>
          <a:off x="12403667" y="2980267"/>
          <a:ext cx="1473200"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Tins</a:t>
          </a:r>
        </a:p>
      </xdr:txBody>
    </xdr:sp>
    <xdr:clientData/>
  </xdr:twoCellAnchor>
  <xdr:twoCellAnchor>
    <xdr:from>
      <xdr:col>15</xdr:col>
      <xdr:colOff>0</xdr:colOff>
      <xdr:row>19</xdr:row>
      <xdr:rowOff>0</xdr:rowOff>
    </xdr:from>
    <xdr:to>
      <xdr:col>17</xdr:col>
      <xdr:colOff>0</xdr:colOff>
      <xdr:row>22</xdr:row>
      <xdr:rowOff>0</xdr:rowOff>
    </xdr:to>
    <xdr:sp macro="" textlink="">
      <xdr:nvSpPr>
        <xdr:cNvPr id="35" name="TextBox 34">
          <a:extLst>
            <a:ext uri="{FF2B5EF4-FFF2-40B4-BE49-F238E27FC236}">
              <a16:creationId xmlns:a16="http://schemas.microsoft.com/office/drawing/2014/main" id="{CD82B3D3-AC0D-4F4F-9921-18B8E1A29AFF}"/>
            </a:ext>
          </a:extLst>
        </xdr:cNvPr>
        <xdr:cNvSpPr txBox="1"/>
      </xdr:nvSpPr>
      <xdr:spPr>
        <a:xfrm>
          <a:off x="12403667" y="3539067"/>
          <a:ext cx="1473200"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Security Seal</a:t>
          </a:r>
        </a:p>
      </xdr:txBody>
    </xdr:sp>
    <xdr:clientData/>
  </xdr:twoCellAnchor>
  <xdr:twoCellAnchor>
    <xdr:from>
      <xdr:col>15</xdr:col>
      <xdr:colOff>0</xdr:colOff>
      <xdr:row>22</xdr:row>
      <xdr:rowOff>0</xdr:rowOff>
    </xdr:from>
    <xdr:to>
      <xdr:col>17</xdr:col>
      <xdr:colOff>0</xdr:colOff>
      <xdr:row>25</xdr:row>
      <xdr:rowOff>0</xdr:rowOff>
    </xdr:to>
    <xdr:sp macro="" textlink="">
      <xdr:nvSpPr>
        <xdr:cNvPr id="36" name="TextBox 35">
          <a:extLst>
            <a:ext uri="{FF2B5EF4-FFF2-40B4-BE49-F238E27FC236}">
              <a16:creationId xmlns:a16="http://schemas.microsoft.com/office/drawing/2014/main" id="{C9819AD6-C73B-478F-B756-D7861191C5D5}"/>
            </a:ext>
          </a:extLst>
        </xdr:cNvPr>
        <xdr:cNvSpPr txBox="1"/>
      </xdr:nvSpPr>
      <xdr:spPr>
        <a:xfrm>
          <a:off x="12403667" y="4097867"/>
          <a:ext cx="1473200"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Spice</a:t>
          </a:r>
        </a:p>
      </xdr:txBody>
    </xdr:sp>
    <xdr:clientData/>
  </xdr:twoCellAnchor>
  <xdr:twoCellAnchor>
    <xdr:from>
      <xdr:col>15</xdr:col>
      <xdr:colOff>0</xdr:colOff>
      <xdr:row>25</xdr:row>
      <xdr:rowOff>0</xdr:rowOff>
    </xdr:from>
    <xdr:to>
      <xdr:col>17</xdr:col>
      <xdr:colOff>0</xdr:colOff>
      <xdr:row>28</xdr:row>
      <xdr:rowOff>0</xdr:rowOff>
    </xdr:to>
    <xdr:sp macro="" textlink="">
      <xdr:nvSpPr>
        <xdr:cNvPr id="37" name="TextBox 36">
          <a:extLst>
            <a:ext uri="{FF2B5EF4-FFF2-40B4-BE49-F238E27FC236}">
              <a16:creationId xmlns:a16="http://schemas.microsoft.com/office/drawing/2014/main" id="{585F14B6-0AF4-40AF-BE6C-CC0BDB4A53D1}"/>
            </a:ext>
          </a:extLst>
        </xdr:cNvPr>
        <xdr:cNvSpPr txBox="1"/>
      </xdr:nvSpPr>
      <xdr:spPr>
        <a:xfrm>
          <a:off x="12403667" y="4656667"/>
          <a:ext cx="1473200"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ExtraMaterial</a:t>
          </a:r>
          <a:endParaRPr lang="en-US" sz="1400" b="1">
            <a:solidFill>
              <a:schemeClr val="tx2"/>
            </a:solidFill>
          </a:endParaRPr>
        </a:p>
      </xdr:txBody>
    </xdr:sp>
    <xdr:clientData/>
  </xdr:twoCellAnchor>
  <xdr:twoCellAnchor>
    <xdr:from>
      <xdr:col>16</xdr:col>
      <xdr:colOff>736599</xdr:colOff>
      <xdr:row>13</xdr:row>
      <xdr:rowOff>0</xdr:rowOff>
    </xdr:from>
    <xdr:to>
      <xdr:col>18</xdr:col>
      <xdr:colOff>0</xdr:colOff>
      <xdr:row>16</xdr:row>
      <xdr:rowOff>0</xdr:rowOff>
    </xdr:to>
    <xdr:sp macro="" textlink="'Stocks sheet'!V3">
      <xdr:nvSpPr>
        <xdr:cNvPr id="38" name="TextBox 37">
          <a:extLst>
            <a:ext uri="{FF2B5EF4-FFF2-40B4-BE49-F238E27FC236}">
              <a16:creationId xmlns:a16="http://schemas.microsoft.com/office/drawing/2014/main" id="{13F5CC58-DC80-4C7A-B2DC-E12436CBE7B3}"/>
            </a:ext>
          </a:extLst>
        </xdr:cNvPr>
        <xdr:cNvSpPr txBox="1"/>
      </xdr:nvSpPr>
      <xdr:spPr>
        <a:xfrm>
          <a:off x="13978466" y="2421467"/>
          <a:ext cx="1024467"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EF90E-3378-40E8-8C34-87A458DA05F5}" type="TxLink">
            <a:rPr lang="en-US" sz="2800" b="1" i="0" u="none" strike="noStrike">
              <a:solidFill>
                <a:schemeClr val="tx2"/>
              </a:solidFill>
              <a:latin typeface="Calibri"/>
              <a:cs typeface="Calibri"/>
            </a:rPr>
            <a:pPr algn="ctr"/>
            <a:t>-2</a:t>
          </a:fld>
          <a:endParaRPr lang="en-US" sz="4800" b="1">
            <a:solidFill>
              <a:schemeClr val="tx2"/>
            </a:solidFill>
          </a:endParaRPr>
        </a:p>
      </xdr:txBody>
    </xdr:sp>
    <xdr:clientData/>
  </xdr:twoCellAnchor>
  <xdr:twoCellAnchor>
    <xdr:from>
      <xdr:col>17</xdr:col>
      <xdr:colOff>0</xdr:colOff>
      <xdr:row>16</xdr:row>
      <xdr:rowOff>0</xdr:rowOff>
    </xdr:from>
    <xdr:to>
      <xdr:col>18</xdr:col>
      <xdr:colOff>0</xdr:colOff>
      <xdr:row>19</xdr:row>
      <xdr:rowOff>0</xdr:rowOff>
    </xdr:to>
    <xdr:sp macro="" textlink="'Stocks sheet'!V4">
      <xdr:nvSpPr>
        <xdr:cNvPr id="39" name="TextBox 38">
          <a:extLst>
            <a:ext uri="{FF2B5EF4-FFF2-40B4-BE49-F238E27FC236}">
              <a16:creationId xmlns:a16="http://schemas.microsoft.com/office/drawing/2014/main" id="{23F1273E-B6E0-4535-862A-CCE97A23DFFC}"/>
            </a:ext>
          </a:extLst>
        </xdr:cNvPr>
        <xdr:cNvSpPr txBox="1"/>
      </xdr:nvSpPr>
      <xdr:spPr>
        <a:xfrm>
          <a:off x="13876867" y="2980267"/>
          <a:ext cx="956733"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36C411-4372-4587-9A38-15F1194BF189}" type="TxLink">
            <a:rPr lang="en-US" sz="2800" b="1" i="0" u="none" strike="noStrike">
              <a:solidFill>
                <a:schemeClr val="tx2"/>
              </a:solidFill>
              <a:latin typeface="Calibri"/>
              <a:cs typeface="Calibri"/>
            </a:rPr>
            <a:pPr algn="ctr"/>
            <a:t>24</a:t>
          </a:fld>
          <a:endParaRPr lang="en-US" sz="4800" b="1">
            <a:solidFill>
              <a:schemeClr val="tx2"/>
            </a:solidFill>
          </a:endParaRPr>
        </a:p>
      </xdr:txBody>
    </xdr:sp>
    <xdr:clientData/>
  </xdr:twoCellAnchor>
  <xdr:twoCellAnchor>
    <xdr:from>
      <xdr:col>17</xdr:col>
      <xdr:colOff>0</xdr:colOff>
      <xdr:row>19</xdr:row>
      <xdr:rowOff>0</xdr:rowOff>
    </xdr:from>
    <xdr:to>
      <xdr:col>18</xdr:col>
      <xdr:colOff>0</xdr:colOff>
      <xdr:row>22</xdr:row>
      <xdr:rowOff>0</xdr:rowOff>
    </xdr:to>
    <xdr:sp macro="" textlink="'Stocks sheet'!V5">
      <xdr:nvSpPr>
        <xdr:cNvPr id="52" name="TextBox 51">
          <a:extLst>
            <a:ext uri="{FF2B5EF4-FFF2-40B4-BE49-F238E27FC236}">
              <a16:creationId xmlns:a16="http://schemas.microsoft.com/office/drawing/2014/main" id="{2275671A-BA8B-4CAC-9BAC-1B7BED1247AA}"/>
            </a:ext>
          </a:extLst>
        </xdr:cNvPr>
        <xdr:cNvSpPr txBox="1"/>
      </xdr:nvSpPr>
      <xdr:spPr>
        <a:xfrm>
          <a:off x="13876867" y="3539067"/>
          <a:ext cx="956733"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0DCD37-8C7D-4140-836F-3752CE13B1AA}" type="TxLink">
            <a:rPr lang="en-US" sz="2800" b="1" i="0" u="none" strike="noStrike">
              <a:solidFill>
                <a:schemeClr val="tx2"/>
              </a:solidFill>
              <a:latin typeface="Calibri"/>
              <a:cs typeface="Calibri"/>
            </a:rPr>
            <a:pPr algn="ctr"/>
            <a:t>0</a:t>
          </a:fld>
          <a:endParaRPr lang="en-US" sz="4800" b="1">
            <a:solidFill>
              <a:schemeClr val="tx2"/>
            </a:solidFill>
          </a:endParaRPr>
        </a:p>
      </xdr:txBody>
    </xdr:sp>
    <xdr:clientData/>
  </xdr:twoCellAnchor>
  <xdr:twoCellAnchor>
    <xdr:from>
      <xdr:col>17</xdr:col>
      <xdr:colOff>0</xdr:colOff>
      <xdr:row>25</xdr:row>
      <xdr:rowOff>0</xdr:rowOff>
    </xdr:from>
    <xdr:to>
      <xdr:col>18</xdr:col>
      <xdr:colOff>0</xdr:colOff>
      <xdr:row>28</xdr:row>
      <xdr:rowOff>0</xdr:rowOff>
    </xdr:to>
    <xdr:sp macro="" textlink="'Stocks sheet'!V7">
      <xdr:nvSpPr>
        <xdr:cNvPr id="53" name="TextBox 52">
          <a:extLst>
            <a:ext uri="{FF2B5EF4-FFF2-40B4-BE49-F238E27FC236}">
              <a16:creationId xmlns:a16="http://schemas.microsoft.com/office/drawing/2014/main" id="{456887C5-30D0-4E34-AA26-530BFA2EEA72}"/>
            </a:ext>
          </a:extLst>
        </xdr:cNvPr>
        <xdr:cNvSpPr txBox="1"/>
      </xdr:nvSpPr>
      <xdr:spPr>
        <a:xfrm>
          <a:off x="13876867" y="4656667"/>
          <a:ext cx="956733"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C0BF3E-D8C9-4AEA-8089-7D6CA7CE6D45}" type="TxLink">
            <a:rPr lang="en-US" sz="2800" b="1" i="0" u="none" strike="noStrike">
              <a:solidFill>
                <a:schemeClr val="tx2"/>
              </a:solidFill>
              <a:latin typeface="Calibri"/>
              <a:cs typeface="Calibri"/>
            </a:rPr>
            <a:pPr algn="ctr"/>
            <a:t>-2</a:t>
          </a:fld>
          <a:endParaRPr lang="en-US" sz="4800" b="1">
            <a:solidFill>
              <a:schemeClr val="tx2"/>
            </a:solidFill>
          </a:endParaRPr>
        </a:p>
      </xdr:txBody>
    </xdr:sp>
    <xdr:clientData/>
  </xdr:twoCellAnchor>
  <xdr:twoCellAnchor>
    <xdr:from>
      <xdr:col>17</xdr:col>
      <xdr:colOff>0</xdr:colOff>
      <xdr:row>22</xdr:row>
      <xdr:rowOff>8466</xdr:rowOff>
    </xdr:from>
    <xdr:to>
      <xdr:col>18</xdr:col>
      <xdr:colOff>0</xdr:colOff>
      <xdr:row>25</xdr:row>
      <xdr:rowOff>8466</xdr:rowOff>
    </xdr:to>
    <xdr:sp macro="" textlink="'Stocks sheet'!V6">
      <xdr:nvSpPr>
        <xdr:cNvPr id="54" name="TextBox 53">
          <a:extLst>
            <a:ext uri="{FF2B5EF4-FFF2-40B4-BE49-F238E27FC236}">
              <a16:creationId xmlns:a16="http://schemas.microsoft.com/office/drawing/2014/main" id="{D35B8D7B-8C40-48E8-B3E0-4F78600444D3}"/>
            </a:ext>
          </a:extLst>
        </xdr:cNvPr>
        <xdr:cNvSpPr txBox="1"/>
      </xdr:nvSpPr>
      <xdr:spPr>
        <a:xfrm>
          <a:off x="13876867" y="4106333"/>
          <a:ext cx="956733" cy="5588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6B50F2-D08C-4A11-B6F6-02251E4C1ADD}" type="TxLink">
            <a:rPr lang="en-US" sz="2800" b="1" i="0" u="none" strike="noStrike">
              <a:solidFill>
                <a:schemeClr val="tx2"/>
              </a:solidFill>
              <a:latin typeface="Calibri"/>
              <a:cs typeface="Calibri"/>
            </a:rPr>
            <a:pPr algn="ctr"/>
            <a:t>-1</a:t>
          </a:fld>
          <a:endParaRPr lang="en-US" sz="4800" b="1">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1667468</xdr:colOff>
      <xdr:row>8</xdr:row>
      <xdr:rowOff>144780</xdr:rowOff>
    </xdr:to>
    <xdr:grpSp>
      <xdr:nvGrpSpPr>
        <xdr:cNvPr id="2" name="Group 1">
          <a:hlinkClick xmlns:r="http://schemas.openxmlformats.org/officeDocument/2006/relationships" r:id="rId1"/>
          <a:extLst>
            <a:ext uri="{FF2B5EF4-FFF2-40B4-BE49-F238E27FC236}">
              <a16:creationId xmlns:a16="http://schemas.microsoft.com/office/drawing/2014/main" id="{CAC1D440-310A-4E68-A8F6-7CDC16F0C1C6}"/>
            </a:ext>
          </a:extLst>
        </xdr:cNvPr>
        <xdr:cNvGrpSpPr/>
      </xdr:nvGrpSpPr>
      <xdr:grpSpPr>
        <a:xfrm>
          <a:off x="121920" y="1143000"/>
          <a:ext cx="1667468" cy="518160"/>
          <a:chOff x="222292" y="1234440"/>
          <a:chExt cx="1667468" cy="510540"/>
        </a:xfrm>
      </xdr:grpSpPr>
      <xdr:pic>
        <xdr:nvPicPr>
          <xdr:cNvPr id="3" name="Graphic 2" descr="Presentation with pie chart">
            <a:extLst>
              <a:ext uri="{FF2B5EF4-FFF2-40B4-BE49-F238E27FC236}">
                <a16:creationId xmlns:a16="http://schemas.microsoft.com/office/drawing/2014/main" id="{4B011714-CE5A-4B32-BF05-6B312B74D2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292" y="1234440"/>
            <a:ext cx="510540" cy="510540"/>
          </a:xfrm>
          <a:prstGeom prst="rect">
            <a:avLst/>
          </a:prstGeom>
        </xdr:spPr>
      </xdr:pic>
      <xdr:sp macro="" textlink="">
        <xdr:nvSpPr>
          <xdr:cNvPr id="4" name="TextBox 3">
            <a:extLst>
              <a:ext uri="{FF2B5EF4-FFF2-40B4-BE49-F238E27FC236}">
                <a16:creationId xmlns:a16="http://schemas.microsoft.com/office/drawing/2014/main" id="{1732A5C6-79CA-4BB5-8105-86319BA5FAB6}"/>
              </a:ext>
            </a:extLst>
          </xdr:cNvPr>
          <xdr:cNvSpPr txBox="1"/>
        </xdr:nvSpPr>
        <xdr:spPr>
          <a:xfrm>
            <a:off x="731520" y="130302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Dashboard</a:t>
            </a:r>
          </a:p>
        </xdr:txBody>
      </xdr:sp>
    </xdr:grpSp>
    <xdr:clientData/>
  </xdr:twoCellAnchor>
  <xdr:twoCellAnchor>
    <xdr:from>
      <xdr:col>1</xdr:col>
      <xdr:colOff>0</xdr:colOff>
      <xdr:row>10</xdr:row>
      <xdr:rowOff>162560</xdr:rowOff>
    </xdr:from>
    <xdr:to>
      <xdr:col>1</xdr:col>
      <xdr:colOff>1652228</xdr:colOff>
      <xdr:row>13</xdr:row>
      <xdr:rowOff>124460</xdr:rowOff>
    </xdr:to>
    <xdr:grpSp>
      <xdr:nvGrpSpPr>
        <xdr:cNvPr id="5" name="Group 4">
          <a:hlinkClick xmlns:r="http://schemas.openxmlformats.org/officeDocument/2006/relationships" r:id="rId4"/>
          <a:extLst>
            <a:ext uri="{FF2B5EF4-FFF2-40B4-BE49-F238E27FC236}">
              <a16:creationId xmlns:a16="http://schemas.microsoft.com/office/drawing/2014/main" id="{96E4F90A-044D-488A-9716-D23047A703E8}"/>
            </a:ext>
          </a:extLst>
        </xdr:cNvPr>
        <xdr:cNvGrpSpPr/>
      </xdr:nvGrpSpPr>
      <xdr:grpSpPr>
        <a:xfrm>
          <a:off x="121920" y="2044700"/>
          <a:ext cx="1652228" cy="510540"/>
          <a:chOff x="222292" y="2128520"/>
          <a:chExt cx="1652228" cy="510540"/>
        </a:xfrm>
      </xdr:grpSpPr>
      <xdr:pic>
        <xdr:nvPicPr>
          <xdr:cNvPr id="6" name="Graphic 5" descr="Paper">
            <a:extLst>
              <a:ext uri="{FF2B5EF4-FFF2-40B4-BE49-F238E27FC236}">
                <a16:creationId xmlns:a16="http://schemas.microsoft.com/office/drawing/2014/main" id="{7529A593-65F1-4C51-B7CA-49502A49A8E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2292" y="2128520"/>
            <a:ext cx="496387" cy="510540"/>
          </a:xfrm>
          <a:prstGeom prst="rect">
            <a:avLst/>
          </a:prstGeom>
        </xdr:spPr>
      </xdr:pic>
      <xdr:sp macro="" textlink="">
        <xdr:nvSpPr>
          <xdr:cNvPr id="7" name="TextBox 6">
            <a:extLst>
              <a:ext uri="{FF2B5EF4-FFF2-40B4-BE49-F238E27FC236}">
                <a16:creationId xmlns:a16="http://schemas.microsoft.com/office/drawing/2014/main" id="{6BAE25B8-F690-48C7-AE22-22C0433E68BB}"/>
              </a:ext>
            </a:extLst>
          </xdr:cNvPr>
          <xdr:cNvSpPr txBox="1"/>
        </xdr:nvSpPr>
        <xdr:spPr>
          <a:xfrm>
            <a:off x="716280" y="219710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Data entry</a:t>
            </a:r>
          </a:p>
        </xdr:txBody>
      </xdr:sp>
    </xdr:grpSp>
    <xdr:clientData/>
  </xdr:twoCellAnchor>
  <xdr:twoCellAnchor>
    <xdr:from>
      <xdr:col>1</xdr:col>
      <xdr:colOff>0</xdr:colOff>
      <xdr:row>15</xdr:row>
      <xdr:rowOff>142240</xdr:rowOff>
    </xdr:from>
    <xdr:to>
      <xdr:col>1</xdr:col>
      <xdr:colOff>1652228</xdr:colOff>
      <xdr:row>18</xdr:row>
      <xdr:rowOff>104140</xdr:rowOff>
    </xdr:to>
    <xdr:grpSp>
      <xdr:nvGrpSpPr>
        <xdr:cNvPr id="8" name="Group 7">
          <a:hlinkClick xmlns:r="http://schemas.openxmlformats.org/officeDocument/2006/relationships" r:id="rId7"/>
          <a:extLst>
            <a:ext uri="{FF2B5EF4-FFF2-40B4-BE49-F238E27FC236}">
              <a16:creationId xmlns:a16="http://schemas.microsoft.com/office/drawing/2014/main" id="{8DE04D09-8074-4FCF-96D2-EC26D6DF1CC5}"/>
            </a:ext>
          </a:extLst>
        </xdr:cNvPr>
        <xdr:cNvGrpSpPr/>
      </xdr:nvGrpSpPr>
      <xdr:grpSpPr>
        <a:xfrm>
          <a:off x="121920" y="2938780"/>
          <a:ext cx="1652228" cy="510540"/>
          <a:chOff x="222292" y="3022600"/>
          <a:chExt cx="1652228" cy="510540"/>
        </a:xfrm>
      </xdr:grpSpPr>
      <xdr:pic>
        <xdr:nvPicPr>
          <xdr:cNvPr id="9" name="Graphic 8" descr="Document">
            <a:extLst>
              <a:ext uri="{FF2B5EF4-FFF2-40B4-BE49-F238E27FC236}">
                <a16:creationId xmlns:a16="http://schemas.microsoft.com/office/drawing/2014/main" id="{3133FE6E-CD5A-4D59-A7B5-7BA4BD8B989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22292" y="3022600"/>
            <a:ext cx="510540" cy="510540"/>
          </a:xfrm>
          <a:prstGeom prst="rect">
            <a:avLst/>
          </a:prstGeom>
        </xdr:spPr>
      </xdr:pic>
      <xdr:sp macro="" textlink="">
        <xdr:nvSpPr>
          <xdr:cNvPr id="10" name="TextBox 9">
            <a:extLst>
              <a:ext uri="{FF2B5EF4-FFF2-40B4-BE49-F238E27FC236}">
                <a16:creationId xmlns:a16="http://schemas.microsoft.com/office/drawing/2014/main" id="{AFE5A8BC-CA2D-4D77-B374-1F1911A508DA}"/>
              </a:ext>
            </a:extLst>
          </xdr:cNvPr>
          <xdr:cNvSpPr txBox="1"/>
        </xdr:nvSpPr>
        <xdr:spPr>
          <a:xfrm>
            <a:off x="716280" y="309118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Stock sheet</a:t>
            </a:r>
          </a:p>
        </xdr:txBody>
      </xdr:sp>
    </xdr:grpSp>
    <xdr:clientData/>
  </xdr:twoCellAnchor>
  <xdr:twoCellAnchor>
    <xdr:from>
      <xdr:col>1</xdr:col>
      <xdr:colOff>0</xdr:colOff>
      <xdr:row>20</xdr:row>
      <xdr:rowOff>121920</xdr:rowOff>
    </xdr:from>
    <xdr:to>
      <xdr:col>1</xdr:col>
      <xdr:colOff>1652228</xdr:colOff>
      <xdr:row>23</xdr:row>
      <xdr:rowOff>83820</xdr:rowOff>
    </xdr:to>
    <xdr:grpSp>
      <xdr:nvGrpSpPr>
        <xdr:cNvPr id="11" name="Group 10">
          <a:hlinkClick xmlns:r="http://schemas.openxmlformats.org/officeDocument/2006/relationships" r:id="rId10"/>
          <a:extLst>
            <a:ext uri="{FF2B5EF4-FFF2-40B4-BE49-F238E27FC236}">
              <a16:creationId xmlns:a16="http://schemas.microsoft.com/office/drawing/2014/main" id="{386FAD11-461A-4494-9621-E837027733E7}"/>
            </a:ext>
          </a:extLst>
        </xdr:cNvPr>
        <xdr:cNvGrpSpPr/>
      </xdr:nvGrpSpPr>
      <xdr:grpSpPr>
        <a:xfrm>
          <a:off x="121920" y="3832860"/>
          <a:ext cx="1652228" cy="510540"/>
          <a:chOff x="222292" y="3916680"/>
          <a:chExt cx="1652228" cy="510540"/>
        </a:xfrm>
      </xdr:grpSpPr>
      <xdr:pic>
        <xdr:nvPicPr>
          <xdr:cNvPr id="12" name="Graphic 11" descr="Gears">
            <a:extLst>
              <a:ext uri="{FF2B5EF4-FFF2-40B4-BE49-F238E27FC236}">
                <a16:creationId xmlns:a16="http://schemas.microsoft.com/office/drawing/2014/main" id="{25B2E07F-BC31-4234-A41A-1AEFA3460CD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2292" y="3916680"/>
            <a:ext cx="510540" cy="510540"/>
          </a:xfrm>
          <a:prstGeom prst="rect">
            <a:avLst/>
          </a:prstGeom>
        </xdr:spPr>
      </xdr:pic>
      <xdr:sp macro="" textlink="">
        <xdr:nvSpPr>
          <xdr:cNvPr id="13" name="TextBox 12">
            <a:extLst>
              <a:ext uri="{FF2B5EF4-FFF2-40B4-BE49-F238E27FC236}">
                <a16:creationId xmlns:a16="http://schemas.microsoft.com/office/drawing/2014/main" id="{CD5ED533-3AFF-434F-96F0-63E0352C94F1}"/>
              </a:ext>
            </a:extLst>
          </xdr:cNvPr>
          <xdr:cNvSpPr txBox="1"/>
        </xdr:nvSpPr>
        <xdr:spPr>
          <a:xfrm>
            <a:off x="716280" y="3985260"/>
            <a:ext cx="11582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Settings</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 refreshedDate="44846.351137962964" createdVersion="7" refreshedVersion="8" minRefreshableVersion="3" recordCount="98" xr:uid="{BD468327-C9F8-4E9F-9C02-F97368024162}">
  <cacheSource type="worksheet">
    <worksheetSource ref="C2:N100" sheet="Stocks sheet"/>
  </cacheSource>
  <cacheFields count="12">
    <cacheField name="Platform names" numFmtId="0">
      <sharedItems containsBlank="1" count="4">
        <s v="Amazon"/>
        <m/>
        <s v="Shopify"/>
        <s v="B2C"/>
      </sharedItems>
    </cacheField>
    <cacheField name="Product names" numFmtId="0">
      <sharedItems containsBlank="1" count="58">
        <s v="AProd 1"/>
        <s v="AProd 2"/>
        <s v="AProd 3"/>
        <s v="AProd 4"/>
        <s v="AProd 5"/>
        <s v="AProd 6"/>
        <s v="AProd 7"/>
        <s v="AProd 8"/>
        <s v="AProd 9"/>
        <m/>
        <s v="SProd 1"/>
        <s v="SProd 2"/>
        <s v="SProd 3"/>
        <s v="SProd 4"/>
        <s v="B2CProd 1"/>
        <s v="B2CProd 2"/>
        <s v="B2CProd 3"/>
        <s v="B2CProd 4"/>
        <s v="B2CProd 5"/>
        <s v="B2CProd 6"/>
        <s v="Shopify Product 1" u="1"/>
        <s v="Amazon Prod 7" u="1"/>
        <s v="Amazon Product 3" u="1"/>
        <s v="Amazon Product 8" u="1"/>
        <s v="Amazon Prod 2" u="1"/>
        <s v="B2C Prod 1" u="1"/>
        <s v="B2C Product 2" u="1"/>
        <s v="Shopify Prod 1" u="1"/>
        <s v="B2C Prod 2" u="1"/>
        <s v="Amazon Prod 5" u="1"/>
        <s v="Amazon Product 4" u="1"/>
        <s v="Shopify Product 4" u="1"/>
        <s v="B2C Product 5" u="1"/>
        <s v="B2C Prod 3" u="1"/>
        <s v="Shopify Prod 2" u="1"/>
        <s v="Amazon Product 9" u="1"/>
        <s v="B2C Prod 4" u="1"/>
        <s v="Amazon Prod 8" u="1"/>
        <s v="B2C Prod 5" u="1"/>
        <s v="Shopify Prod 3" u="1"/>
        <s v="Amazon Product 5" u="1"/>
        <s v="Amazon Prod 3" u="1"/>
        <s v="Shopify Product 3" u="1"/>
        <s v="B2C Product 3" u="1"/>
        <s v="B2C Prod 6" u="1"/>
        <s v="Amazon Product 1" u="1"/>
        <s v="Amazon Prod 6" u="1"/>
        <s v="Shopify Prod 4" u="1"/>
        <s v="B2C Product 6" u="1"/>
        <s v="Amazon Product 6" u="1"/>
        <s v="Amazon Prod 1" u="1"/>
        <s v="Shopify Product 2" u="1"/>
        <s v="B2C Product 1" u="1"/>
        <s v="Amazon Prod 9" u="1"/>
        <s v="Amazon Product 2" u="1"/>
        <s v="Amazon Prod 4" u="1"/>
        <s v="B2C Product 4" u="1"/>
        <s v="Amazon Product 7" u="1"/>
      </sharedItems>
    </cacheField>
    <cacheField name="Product price (per unit)" numFmtId="164">
      <sharedItems containsString="0" containsBlank="1" containsNumber="1" containsInteger="1" minValue="20" maxValue="900"/>
    </cacheField>
    <cacheField name="Opening inventory" numFmtId="0">
      <sharedItems containsString="0" containsBlank="1" containsNumber="1" containsInteger="1" minValue="2" maxValue="29"/>
    </cacheField>
    <cacheField name="Purchase $" numFmtId="164">
      <sharedItems containsMixedTypes="1" containsNumber="1" containsInteger="1" minValue="0" maxValue="13500"/>
    </cacheField>
    <cacheField name="Sale $" numFmtId="164">
      <sharedItems containsMixedTypes="1" containsNumber="1" containsInteger="1" minValue="0" maxValue="11500"/>
    </cacheField>
    <cacheField name="Profit" numFmtId="164">
      <sharedItems containsMixedTypes="1" containsNumber="1" containsInteger="1" minValue="-13500" maxValue="11500"/>
    </cacheField>
    <cacheField name="Sale" numFmtId="0">
      <sharedItems containsMixedTypes="1" containsNumber="1" containsInteger="1" minValue="0" maxValue="36"/>
    </cacheField>
    <cacheField name="Purchase" numFmtId="0">
      <sharedItems containsMixedTypes="1" containsNumber="1" containsInteger="1" minValue="0" maxValue="15"/>
    </cacheField>
    <cacheField name="Stock" numFmtId="0">
      <sharedItems containsMixedTypes="1" containsNumber="1" containsInteger="1" minValue="-33" maxValue="36"/>
    </cacheField>
    <cacheField name="Min stock to be kept" numFmtId="0">
      <sharedItems containsString="0" containsBlank="1" containsNumber="1" containsInteger="1" minValue="2" maxValue="2"/>
    </cacheField>
    <cacheField name="Stock status" numFmtId="0">
      <sharedItems count="4">
        <s v="In stock"/>
        <s v="Out of stock"/>
        <s v=""/>
        <s v="Stock running out"/>
      </sharedItems>
    </cacheField>
  </cacheFields>
  <extLst>
    <ext xmlns:x14="http://schemas.microsoft.com/office/spreadsheetml/2009/9/main" uri="{725AE2AE-9491-48be-B2B4-4EB974FC3084}">
      <x14:pivotCacheDefinition pivotCacheId="12643460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
  <r>
    <x v="0"/>
    <x v="0"/>
    <n v="100"/>
    <n v="2"/>
    <n v="1000"/>
    <n v="0"/>
    <n v="-1000"/>
    <n v="0"/>
    <n v="10"/>
    <n v="12"/>
    <n v="2"/>
    <x v="0"/>
  </r>
  <r>
    <x v="0"/>
    <x v="1"/>
    <n v="200"/>
    <n v="20"/>
    <n v="3000"/>
    <n v="4800"/>
    <n v="1800"/>
    <n v="24"/>
    <n v="15"/>
    <n v="11"/>
    <n v="2"/>
    <x v="0"/>
  </r>
  <r>
    <x v="0"/>
    <x v="2"/>
    <n v="300"/>
    <n v="3"/>
    <n v="0"/>
    <n v="10800"/>
    <n v="10800"/>
    <n v="36"/>
    <n v="0"/>
    <n v="-33"/>
    <n v="2"/>
    <x v="1"/>
  </r>
  <r>
    <x v="0"/>
    <x v="3"/>
    <n v="400"/>
    <n v="13"/>
    <n v="0"/>
    <n v="0"/>
    <n v="0"/>
    <n v="0"/>
    <n v="0"/>
    <n v="13"/>
    <n v="2"/>
    <x v="0"/>
  </r>
  <r>
    <x v="0"/>
    <x v="4"/>
    <n v="500"/>
    <n v="20"/>
    <n v="0"/>
    <n v="11500"/>
    <n v="11500"/>
    <n v="23"/>
    <n v="0"/>
    <n v="-3"/>
    <n v="2"/>
    <x v="1"/>
  </r>
  <r>
    <x v="0"/>
    <x v="5"/>
    <n v="600"/>
    <n v="26"/>
    <n v="0"/>
    <n v="0"/>
    <n v="0"/>
    <n v="0"/>
    <n v="0"/>
    <n v="26"/>
    <n v="2"/>
    <x v="0"/>
  </r>
  <r>
    <x v="0"/>
    <x v="6"/>
    <n v="700"/>
    <n v="29"/>
    <n v="0"/>
    <n v="10500"/>
    <n v="10500"/>
    <n v="15"/>
    <n v="0"/>
    <n v="14"/>
    <n v="2"/>
    <x v="0"/>
  </r>
  <r>
    <x v="0"/>
    <x v="7"/>
    <n v="800"/>
    <n v="24"/>
    <n v="0"/>
    <n v="0"/>
    <n v="0"/>
    <n v="0"/>
    <n v="0"/>
    <n v="24"/>
    <n v="2"/>
    <x v="0"/>
  </r>
  <r>
    <x v="0"/>
    <x v="8"/>
    <n v="900"/>
    <n v="21"/>
    <n v="13500"/>
    <n v="0"/>
    <n v="-13500"/>
    <n v="0"/>
    <n v="15"/>
    <n v="36"/>
    <n v="2"/>
    <x v="0"/>
  </r>
  <r>
    <x v="1"/>
    <x v="9"/>
    <m/>
    <m/>
    <s v=""/>
    <s v=""/>
    <s v=""/>
    <s v=""/>
    <s v=""/>
    <s v=""/>
    <m/>
    <x v="2"/>
  </r>
  <r>
    <x v="1"/>
    <x v="9"/>
    <m/>
    <m/>
    <s v=""/>
    <s v=""/>
    <s v=""/>
    <s v=""/>
    <s v=""/>
    <s v=""/>
    <m/>
    <x v="2"/>
  </r>
  <r>
    <x v="2"/>
    <x v="10"/>
    <n v="100"/>
    <n v="4"/>
    <n v="0"/>
    <n v="200"/>
    <n v="200"/>
    <n v="2"/>
    <n v="0"/>
    <n v="2"/>
    <n v="2"/>
    <x v="3"/>
  </r>
  <r>
    <x v="2"/>
    <x v="11"/>
    <n v="200"/>
    <n v="24"/>
    <n v="0"/>
    <n v="0"/>
    <n v="0"/>
    <n v="0"/>
    <n v="0"/>
    <n v="24"/>
    <n v="2"/>
    <x v="0"/>
  </r>
  <r>
    <x v="2"/>
    <x v="12"/>
    <n v="300"/>
    <n v="5"/>
    <n v="0"/>
    <n v="1500"/>
    <n v="1500"/>
    <n v="5"/>
    <n v="0"/>
    <n v="0"/>
    <n v="2"/>
    <x v="1"/>
  </r>
  <r>
    <x v="2"/>
    <x v="13"/>
    <n v="400"/>
    <n v="10"/>
    <n v="0"/>
    <n v="0"/>
    <n v="0"/>
    <n v="0"/>
    <n v="0"/>
    <n v="10"/>
    <n v="2"/>
    <x v="0"/>
  </r>
  <r>
    <x v="1"/>
    <x v="9"/>
    <m/>
    <m/>
    <s v=""/>
    <s v=""/>
    <s v=""/>
    <s v=""/>
    <s v=""/>
    <s v=""/>
    <m/>
    <x v="2"/>
  </r>
  <r>
    <x v="1"/>
    <x v="9"/>
    <m/>
    <m/>
    <s v=""/>
    <s v=""/>
    <s v=""/>
    <s v=""/>
    <s v=""/>
    <s v=""/>
    <m/>
    <x v="2"/>
  </r>
  <r>
    <x v="3"/>
    <x v="14"/>
    <n v="100"/>
    <n v="20"/>
    <n v="0"/>
    <n v="0"/>
    <n v="0"/>
    <n v="0"/>
    <n v="0"/>
    <n v="20"/>
    <n v="2"/>
    <x v="0"/>
  </r>
  <r>
    <x v="3"/>
    <x v="15"/>
    <n v="200"/>
    <n v="26"/>
    <n v="0"/>
    <n v="0"/>
    <n v="0"/>
    <n v="0"/>
    <n v="0"/>
    <n v="26"/>
    <n v="2"/>
    <x v="0"/>
  </r>
  <r>
    <x v="3"/>
    <x v="16"/>
    <n v="300"/>
    <n v="29"/>
    <n v="1800"/>
    <n v="0"/>
    <n v="-1800"/>
    <n v="0"/>
    <n v="6"/>
    <n v="35"/>
    <n v="2"/>
    <x v="0"/>
  </r>
  <r>
    <x v="3"/>
    <x v="17"/>
    <n v="400"/>
    <n v="24"/>
    <n v="0"/>
    <n v="0"/>
    <n v="0"/>
    <n v="0"/>
    <n v="0"/>
    <n v="24"/>
    <n v="2"/>
    <x v="0"/>
  </r>
  <r>
    <x v="3"/>
    <x v="18"/>
    <n v="500"/>
    <n v="20"/>
    <n v="0"/>
    <n v="5500"/>
    <n v="5500"/>
    <n v="11"/>
    <n v="0"/>
    <n v="9"/>
    <n v="2"/>
    <x v="0"/>
  </r>
  <r>
    <x v="3"/>
    <x v="19"/>
    <n v="600"/>
    <n v="26"/>
    <n v="0"/>
    <n v="0"/>
    <n v="0"/>
    <n v="0"/>
    <n v="0"/>
    <n v="26"/>
    <n v="2"/>
    <x v="0"/>
  </r>
  <r>
    <x v="1"/>
    <x v="9"/>
    <m/>
    <m/>
    <s v=""/>
    <s v=""/>
    <s v=""/>
    <s v=""/>
    <s v=""/>
    <s v=""/>
    <m/>
    <x v="2"/>
  </r>
  <r>
    <x v="1"/>
    <x v="9"/>
    <n v="50"/>
    <m/>
    <s v=""/>
    <s v=""/>
    <s v=""/>
    <s v=""/>
    <s v=""/>
    <s v=""/>
    <m/>
    <x v="2"/>
  </r>
  <r>
    <x v="1"/>
    <x v="9"/>
    <n v="20"/>
    <m/>
    <s v=""/>
    <s v=""/>
    <s v=""/>
    <s v=""/>
    <s v=""/>
    <s v=""/>
    <m/>
    <x v="2"/>
  </r>
  <r>
    <x v="1"/>
    <x v="9"/>
    <n v="30"/>
    <m/>
    <s v=""/>
    <s v=""/>
    <s v=""/>
    <s v=""/>
    <s v=""/>
    <s v=""/>
    <m/>
    <x v="2"/>
  </r>
  <r>
    <x v="1"/>
    <x v="9"/>
    <n v="20"/>
    <m/>
    <s v=""/>
    <s v=""/>
    <s v=""/>
    <s v=""/>
    <s v=""/>
    <s v=""/>
    <m/>
    <x v="2"/>
  </r>
  <r>
    <x v="1"/>
    <x v="9"/>
    <n v="50"/>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r>
    <x v="1"/>
    <x v="9"/>
    <m/>
    <m/>
    <s v=""/>
    <s v=""/>
    <s v=""/>
    <s v=""/>
    <s v=""/>
    <s v=""/>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83CEE8-A54A-43F8-BA53-E5441B1E995C}" name="PivotTable5"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L38:M58" firstHeaderRow="1" firstDataRow="1" firstDataCol="1" rowPageCount="1" colPageCount="1"/>
  <pivotFields count="12">
    <pivotField axis="axisPage" multipleItemSelectionAllowed="1" showAll="0">
      <items count="5">
        <item x="0"/>
        <item x="3"/>
        <item x="2"/>
        <item x="1"/>
        <item t="default"/>
      </items>
    </pivotField>
    <pivotField axis="axisRow" showAll="0">
      <items count="59">
        <item m="1" x="50"/>
        <item m="1" x="24"/>
        <item m="1" x="41"/>
        <item m="1" x="55"/>
        <item m="1" x="29"/>
        <item m="1" x="46"/>
        <item m="1" x="21"/>
        <item m="1" x="37"/>
        <item m="1" x="53"/>
        <item m="1" x="45"/>
        <item m="1" x="54"/>
        <item m="1" x="22"/>
        <item m="1" x="30"/>
        <item m="1" x="40"/>
        <item m="1" x="49"/>
        <item m="1" x="57"/>
        <item m="1" x="23"/>
        <item m="1" x="35"/>
        <item m="1" x="25"/>
        <item m="1" x="28"/>
        <item m="1" x="33"/>
        <item m="1" x="36"/>
        <item m="1" x="38"/>
        <item m="1" x="44"/>
        <item m="1" x="52"/>
        <item m="1" x="26"/>
        <item m="1" x="43"/>
        <item m="1" x="56"/>
        <item m="1" x="32"/>
        <item m="1" x="48"/>
        <item m="1" x="27"/>
        <item m="1" x="34"/>
        <item m="1" x="39"/>
        <item m="1" x="47"/>
        <item m="1" x="20"/>
        <item m="1" x="51"/>
        <item m="1" x="42"/>
        <item m="1" x="31"/>
        <item h="1" x="9"/>
        <item x="0"/>
        <item x="1"/>
        <item x="2"/>
        <item x="3"/>
        <item x="4"/>
        <item x="5"/>
        <item x="6"/>
        <item x="7"/>
        <item x="8"/>
        <item x="10"/>
        <item x="11"/>
        <item x="12"/>
        <item x="13"/>
        <item x="14"/>
        <item x="15"/>
        <item x="16"/>
        <item x="17"/>
        <item x="18"/>
        <item x="19"/>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20">
    <i>
      <x v="39"/>
    </i>
    <i>
      <x v="40"/>
    </i>
    <i>
      <x v="41"/>
    </i>
    <i>
      <x v="42"/>
    </i>
    <i>
      <x v="43"/>
    </i>
    <i>
      <x v="44"/>
    </i>
    <i>
      <x v="45"/>
    </i>
    <i>
      <x v="46"/>
    </i>
    <i>
      <x v="47"/>
    </i>
    <i>
      <x v="48"/>
    </i>
    <i>
      <x v="49"/>
    </i>
    <i>
      <x v="50"/>
    </i>
    <i>
      <x v="51"/>
    </i>
    <i>
      <x v="52"/>
    </i>
    <i>
      <x v="53"/>
    </i>
    <i>
      <x v="54"/>
    </i>
    <i>
      <x v="55"/>
    </i>
    <i>
      <x v="56"/>
    </i>
    <i>
      <x v="57"/>
    </i>
    <i t="grand">
      <x/>
    </i>
  </rowItems>
  <colItems count="1">
    <i/>
  </colItems>
  <pageFields count="1">
    <pageField fld="0" hier="-1"/>
  </pageFields>
  <dataFields count="1">
    <dataField name="Sum of Purchase" fld="8" baseField="1"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8DCF93-B8A3-45BF-800D-7B2E90C39D01}" name="PivotTable3"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X38:Y58" firstHeaderRow="1" firstDataRow="1" firstDataCol="1" rowPageCount="1" colPageCount="1"/>
  <pivotFields count="12">
    <pivotField axis="axisPage" multipleItemSelectionAllowed="1" showAll="0">
      <items count="5">
        <item x="0"/>
        <item x="3"/>
        <item x="2"/>
        <item x="1"/>
        <item t="default"/>
      </items>
    </pivotField>
    <pivotField axis="axisRow" showAll="0">
      <items count="59">
        <item m="1" x="50"/>
        <item m="1" x="24"/>
        <item m="1" x="41"/>
        <item m="1" x="55"/>
        <item m="1" x="29"/>
        <item m="1" x="46"/>
        <item m="1" x="21"/>
        <item m="1" x="37"/>
        <item m="1" x="53"/>
        <item m="1" x="45"/>
        <item m="1" x="54"/>
        <item m="1" x="22"/>
        <item m="1" x="30"/>
        <item m="1" x="40"/>
        <item m="1" x="49"/>
        <item m="1" x="57"/>
        <item m="1" x="23"/>
        <item m="1" x="35"/>
        <item m="1" x="25"/>
        <item m="1" x="28"/>
        <item m="1" x="33"/>
        <item m="1" x="36"/>
        <item m="1" x="38"/>
        <item m="1" x="44"/>
        <item m="1" x="52"/>
        <item m="1" x="26"/>
        <item m="1" x="43"/>
        <item m="1" x="56"/>
        <item m="1" x="32"/>
        <item m="1" x="48"/>
        <item m="1" x="27"/>
        <item m="1" x="34"/>
        <item m="1" x="39"/>
        <item m="1" x="47"/>
        <item m="1" x="20"/>
        <item m="1" x="51"/>
        <item m="1" x="42"/>
        <item m="1" x="31"/>
        <item h="1" x="9"/>
        <item x="0"/>
        <item x="1"/>
        <item x="2"/>
        <item x="3"/>
        <item x="4"/>
        <item x="5"/>
        <item x="6"/>
        <item x="7"/>
        <item x="8"/>
        <item x="10"/>
        <item x="11"/>
        <item x="12"/>
        <item x="13"/>
        <item x="14"/>
        <item x="15"/>
        <item x="16"/>
        <item x="17"/>
        <item x="18"/>
        <item x="19"/>
        <item t="default"/>
      </items>
    </pivotField>
    <pivotField showAll="0"/>
    <pivotField showAll="0"/>
    <pivotField showAll="0"/>
    <pivotField showAll="0"/>
    <pivotField dataField="1" showAll="0"/>
    <pivotField showAll="0"/>
    <pivotField showAll="0"/>
    <pivotField showAll="0"/>
    <pivotField showAll="0"/>
    <pivotField showAll="0"/>
  </pivotFields>
  <rowFields count="1">
    <field x="1"/>
  </rowFields>
  <rowItems count="20">
    <i>
      <x v="39"/>
    </i>
    <i>
      <x v="40"/>
    </i>
    <i>
      <x v="41"/>
    </i>
    <i>
      <x v="42"/>
    </i>
    <i>
      <x v="43"/>
    </i>
    <i>
      <x v="44"/>
    </i>
    <i>
      <x v="45"/>
    </i>
    <i>
      <x v="46"/>
    </i>
    <i>
      <x v="47"/>
    </i>
    <i>
      <x v="48"/>
    </i>
    <i>
      <x v="49"/>
    </i>
    <i>
      <x v="50"/>
    </i>
    <i>
      <x v="51"/>
    </i>
    <i>
      <x v="52"/>
    </i>
    <i>
      <x v="53"/>
    </i>
    <i>
      <x v="54"/>
    </i>
    <i>
      <x v="55"/>
    </i>
    <i>
      <x v="56"/>
    </i>
    <i>
      <x v="57"/>
    </i>
    <i t="grand">
      <x/>
    </i>
  </rowItems>
  <colItems count="1">
    <i/>
  </colItems>
  <pageFields count="1">
    <pageField fld="0" hier="-1"/>
  </pageFields>
  <dataFields count="1">
    <dataField name="Sum of Profit"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9221A1-D466-4AA6-A905-EA27C9615747}" name="PivotTable2" cacheId="5" dataOnRows="1" applyNumberFormats="0" applyBorderFormats="0" applyFontFormats="0" applyPatternFormats="0" applyAlignmentFormats="0" applyWidthHeightFormats="1" dataCaption="Values" missingCaption="0" updatedVersion="8" minRefreshableVersion="3" colGrandTotals="0" itemPrintTitles="1" createdVersion="7" indent="0" outline="1" outlineData="1" multipleFieldFilters="0" chartFormat="2">
  <location ref="E38:H59" firstHeaderRow="1" firstDataRow="2" firstDataCol="1" rowPageCount="1" colPageCount="1"/>
  <pivotFields count="12">
    <pivotField axis="axisPage" multipleItemSelectionAllowed="1" showAll="0">
      <items count="5">
        <item x="0"/>
        <item x="3"/>
        <item x="2"/>
        <item x="1"/>
        <item t="default"/>
      </items>
    </pivotField>
    <pivotField axis="axisRow" showAll="0">
      <items count="59">
        <item m="1" x="45"/>
        <item m="1" x="54"/>
        <item m="1" x="22"/>
        <item m="1" x="30"/>
        <item m="1" x="40"/>
        <item m="1" x="49"/>
        <item m="1" x="57"/>
        <item m="1" x="23"/>
        <item m="1" x="35"/>
        <item m="1" x="52"/>
        <item m="1" x="26"/>
        <item m="1" x="43"/>
        <item m="1" x="56"/>
        <item m="1" x="32"/>
        <item m="1" x="48"/>
        <item m="1" x="20"/>
        <item m="1" x="51"/>
        <item m="1" x="42"/>
        <item m="1" x="31"/>
        <item h="1" x="9"/>
        <item m="1" x="50"/>
        <item m="1" x="24"/>
        <item m="1" x="41"/>
        <item m="1" x="55"/>
        <item m="1" x="29"/>
        <item m="1" x="46"/>
        <item m="1" x="21"/>
        <item m="1" x="37"/>
        <item m="1" x="53"/>
        <item m="1" x="27"/>
        <item m="1" x="34"/>
        <item m="1" x="39"/>
        <item m="1" x="47"/>
        <item m="1" x="25"/>
        <item m="1" x="28"/>
        <item m="1" x="33"/>
        <item m="1" x="36"/>
        <item m="1" x="38"/>
        <item m="1" x="44"/>
        <item x="0"/>
        <item x="1"/>
        <item x="2"/>
        <item x="3"/>
        <item x="4"/>
        <item x="5"/>
        <item x="6"/>
        <item x="7"/>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dataField="1" showAll="0"/>
    <pivotField showAll="0"/>
    <pivotField axis="axisCol" showAll="0">
      <items count="5">
        <item h="1" x="2"/>
        <item x="0"/>
        <item x="1"/>
        <item x="3"/>
        <item t="default"/>
      </items>
    </pivotField>
  </pivotFields>
  <rowFields count="1">
    <field x="1"/>
  </rowFields>
  <rowItems count="20">
    <i>
      <x v="39"/>
    </i>
    <i>
      <x v="40"/>
    </i>
    <i>
      <x v="41"/>
    </i>
    <i>
      <x v="42"/>
    </i>
    <i>
      <x v="43"/>
    </i>
    <i>
      <x v="44"/>
    </i>
    <i>
      <x v="45"/>
    </i>
    <i>
      <x v="46"/>
    </i>
    <i>
      <x v="47"/>
    </i>
    <i>
      <x v="48"/>
    </i>
    <i>
      <x v="49"/>
    </i>
    <i>
      <x v="50"/>
    </i>
    <i>
      <x v="51"/>
    </i>
    <i>
      <x v="52"/>
    </i>
    <i>
      <x v="53"/>
    </i>
    <i>
      <x v="54"/>
    </i>
    <i>
      <x v="55"/>
    </i>
    <i>
      <x v="56"/>
    </i>
    <i>
      <x v="57"/>
    </i>
    <i t="grand">
      <x/>
    </i>
  </rowItems>
  <colFields count="1">
    <field x="11"/>
  </colFields>
  <colItems count="3">
    <i>
      <x v="1"/>
    </i>
    <i>
      <x v="2"/>
    </i>
    <i>
      <x v="3"/>
    </i>
  </colItems>
  <pageFields count="1">
    <pageField fld="0" hier="-1"/>
  </pageFields>
  <dataFields count="1">
    <dataField name="Sum of Stock" fld="9" baseField="1" baseItem="22"/>
  </dataFields>
  <formats count="24">
    <format dxfId="0">
      <pivotArea type="all" dataOnly="0" outline="0" fieldPosition="0"/>
    </format>
    <format dxfId="1">
      <pivotArea outline="0" collapsedLevelsAreSubtotals="1" fieldPosition="0"/>
    </format>
    <format dxfId="2">
      <pivotArea type="origin" dataOnly="0" labelOnly="1" outline="0" fieldPosition="0"/>
    </format>
    <format dxfId="3">
      <pivotArea field="11" type="button" dataOnly="0" labelOnly="1" outline="0" axis="axisCol" fieldPosition="0"/>
    </format>
    <format dxfId="4">
      <pivotArea type="topRight" dataOnly="0" labelOnly="1" outline="0" fieldPosition="0"/>
    </format>
    <format dxfId="5">
      <pivotArea field="1" type="button" dataOnly="0" labelOnly="1" outline="0" axis="axisRow" fieldPosition="0"/>
    </format>
    <format dxfId="6">
      <pivotArea dataOnly="0" labelOnly="1" fieldPosition="0">
        <references count="1">
          <reference field="1" count="9">
            <x v="20"/>
            <x v="21"/>
            <x v="22"/>
            <x v="23"/>
            <x v="24"/>
            <x v="25"/>
            <x v="26"/>
            <x v="27"/>
            <x v="28"/>
          </reference>
        </references>
      </pivotArea>
    </format>
    <format dxfId="7">
      <pivotArea dataOnly="0" labelOnly="1" grandRow="1" outline="0" fieldPosition="0"/>
    </format>
    <format dxfId="8">
      <pivotArea type="all" dataOnly="0" outline="0" fieldPosition="0"/>
    </format>
    <format dxfId="9">
      <pivotArea outline="0" collapsedLevelsAreSubtotals="1" fieldPosition="0"/>
    </format>
    <format dxfId="10">
      <pivotArea type="origin" dataOnly="0" labelOnly="1" outline="0" fieldPosition="0"/>
    </format>
    <format dxfId="11">
      <pivotArea field="11" type="button" dataOnly="0" labelOnly="1" outline="0" axis="axisCol" fieldPosition="0"/>
    </format>
    <format dxfId="12">
      <pivotArea type="topRight" dataOnly="0" labelOnly="1" outline="0" fieldPosition="0"/>
    </format>
    <format dxfId="13">
      <pivotArea field="1" type="button" dataOnly="0" labelOnly="1" outline="0" axis="axisRow" fieldPosition="0"/>
    </format>
    <format dxfId="14">
      <pivotArea dataOnly="0" labelOnly="1" fieldPosition="0">
        <references count="1">
          <reference field="1" count="9">
            <x v="20"/>
            <x v="21"/>
            <x v="22"/>
            <x v="23"/>
            <x v="24"/>
            <x v="25"/>
            <x v="26"/>
            <x v="27"/>
            <x v="28"/>
          </reference>
        </references>
      </pivotArea>
    </format>
    <format dxfId="15">
      <pivotArea dataOnly="0" labelOnly="1" grandRow="1" outline="0" fieldPosition="0"/>
    </format>
    <format dxfId="16">
      <pivotArea type="all" dataOnly="0" outline="0" fieldPosition="0"/>
    </format>
    <format dxfId="17">
      <pivotArea outline="0" collapsedLevelsAreSubtotals="1" fieldPosition="0"/>
    </format>
    <format dxfId="18">
      <pivotArea type="origin" dataOnly="0" labelOnly="1" outline="0" fieldPosition="0"/>
    </format>
    <format dxfId="19">
      <pivotArea field="11" type="button" dataOnly="0" labelOnly="1" outline="0" axis="axisCol" fieldPosition="0"/>
    </format>
    <format dxfId="20">
      <pivotArea type="topRight" dataOnly="0" labelOnly="1" outline="0" fieldPosition="0"/>
    </format>
    <format dxfId="21">
      <pivotArea field="1" type="button" dataOnly="0" labelOnly="1" outline="0" axis="axisRow" fieldPosition="0"/>
    </format>
    <format dxfId="22">
      <pivotArea dataOnly="0" labelOnly="1" fieldPosition="0">
        <references count="1">
          <reference field="1" count="9">
            <x v="20"/>
            <x v="21"/>
            <x v="22"/>
            <x v="23"/>
            <x v="24"/>
            <x v="25"/>
            <x v="26"/>
            <x v="27"/>
            <x v="28"/>
          </reference>
        </references>
      </pivotArea>
    </format>
    <format dxfId="23">
      <pivotArea dataOnly="0" labelOnly="1" grandRow="1" outline="0" fieldPosition="0"/>
    </format>
  </formats>
  <chartFormats count="9">
    <chartFormat chart="1" format="10" series="1">
      <pivotArea type="data" outline="0" fieldPosition="0">
        <references count="1">
          <reference field="11" count="1" selected="0">
            <x v="1"/>
          </reference>
        </references>
      </pivotArea>
    </chartFormat>
    <chartFormat chart="1" format="11" series="1">
      <pivotArea type="data" outline="0" fieldPosition="0">
        <references count="1">
          <reference field="11" count="1" selected="0">
            <x v="2"/>
          </reference>
        </references>
      </pivotArea>
    </chartFormat>
    <chartFormat chart="1" format="12" series="1">
      <pivotArea type="data" outline="0" fieldPosition="0">
        <references count="1">
          <reference field="11" count="1" selected="0">
            <x v="3"/>
          </reference>
        </references>
      </pivotArea>
    </chartFormat>
    <chartFormat chart="1" format="13" series="1">
      <pivotArea type="data" outline="0" fieldPosition="0">
        <references count="1">
          <reference field="11" count="1" selected="0">
            <x v="0"/>
          </reference>
        </references>
      </pivotArea>
    </chartFormat>
    <chartFormat chart="1" format="14" series="1">
      <pivotArea type="data" outline="0" fieldPosition="0">
        <references count="2">
          <reference field="4294967294" count="1" selected="0">
            <x v="0"/>
          </reference>
          <reference field="11" count="1" selected="0">
            <x v="1"/>
          </reference>
        </references>
      </pivotArea>
    </chartFormat>
    <chartFormat chart="1" format="15" series="1">
      <pivotArea type="data" outline="0" fieldPosition="0">
        <references count="2">
          <reference field="4294967294" count="1" selected="0">
            <x v="0"/>
          </reference>
          <reference field="11" count="1" selected="0">
            <x v="3"/>
          </reference>
        </references>
      </pivotArea>
    </chartFormat>
    <chartFormat chart="1" format="16" series="1">
      <pivotArea type="data" outline="0" fieldPosition="0">
        <references count="2">
          <reference field="4294967294" count="1" selected="0">
            <x v="0"/>
          </reference>
          <reference field="11" count="1" selected="0">
            <x v="2"/>
          </reference>
        </references>
      </pivotArea>
    </chartFormat>
    <chartFormat chart="1" format="17" series="1">
      <pivotArea type="data" outline="0" fieldPosition="0">
        <references count="1">
          <reference field="4294967294" count="1" selected="0">
            <x v="0"/>
          </reference>
        </references>
      </pivotArea>
    </chartFormat>
    <chartFormat chart="1" format="18" series="1">
      <pivotArea type="data" outline="0" fieldPosition="0">
        <references count="2">
          <reference field="4294967294" count="1" selected="0">
            <x v="0"/>
          </reference>
          <reference field="11" count="1" selected="0">
            <x v="0"/>
          </reference>
        </references>
      </pivotArea>
    </chartFormat>
  </chart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8A030A-0953-44E5-A350-37DD51E07E42}" name="PivotTable6"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R38:T58" firstHeaderRow="0" firstDataRow="1" firstDataCol="1" rowPageCount="1" colPageCount="1"/>
  <pivotFields count="12">
    <pivotField axis="axisPage" multipleItemSelectionAllowed="1" showAll="0">
      <items count="5">
        <item x="0"/>
        <item x="3"/>
        <item x="2"/>
        <item x="1"/>
        <item t="default"/>
      </items>
    </pivotField>
    <pivotField axis="axisRow" showAll="0">
      <items count="59">
        <item m="1" x="50"/>
        <item m="1" x="24"/>
        <item m="1" x="41"/>
        <item m="1" x="55"/>
        <item m="1" x="29"/>
        <item m="1" x="46"/>
        <item m="1" x="21"/>
        <item m="1" x="37"/>
        <item m="1" x="53"/>
        <item m="1" x="45"/>
        <item m="1" x="54"/>
        <item m="1" x="22"/>
        <item m="1" x="30"/>
        <item m="1" x="40"/>
        <item m="1" x="49"/>
        <item m="1" x="57"/>
        <item m="1" x="23"/>
        <item m="1" x="35"/>
        <item m="1" x="25"/>
        <item m="1" x="28"/>
        <item m="1" x="33"/>
        <item m="1" x="36"/>
        <item m="1" x="38"/>
        <item m="1" x="44"/>
        <item m="1" x="52"/>
        <item m="1" x="26"/>
        <item m="1" x="43"/>
        <item m="1" x="56"/>
        <item m="1" x="32"/>
        <item m="1" x="48"/>
        <item m="1" x="27"/>
        <item m="1" x="34"/>
        <item m="1" x="39"/>
        <item m="1" x="47"/>
        <item m="1" x="20"/>
        <item m="1" x="51"/>
        <item m="1" x="42"/>
        <item m="1" x="31"/>
        <item h="1" x="9"/>
        <item x="0"/>
        <item x="1"/>
        <item x="2"/>
        <item x="3"/>
        <item x="4"/>
        <item x="5"/>
        <item x="6"/>
        <item x="7"/>
        <item x="8"/>
        <item x="10"/>
        <item x="11"/>
        <item x="12"/>
        <item x="13"/>
        <item x="14"/>
        <item x="15"/>
        <item x="16"/>
        <item x="17"/>
        <item x="18"/>
        <item x="19"/>
        <item t="default"/>
      </items>
    </pivotField>
    <pivotField showAll="0"/>
    <pivotField showAll="0"/>
    <pivotField dataField="1" showAll="0"/>
    <pivotField dataField="1" showAll="0"/>
    <pivotField showAll="0"/>
    <pivotField showAll="0"/>
    <pivotField showAll="0"/>
    <pivotField showAll="0"/>
    <pivotField showAll="0"/>
    <pivotField showAll="0"/>
  </pivotFields>
  <rowFields count="1">
    <field x="1"/>
  </rowFields>
  <rowItems count="20">
    <i>
      <x v="39"/>
    </i>
    <i>
      <x v="40"/>
    </i>
    <i>
      <x v="41"/>
    </i>
    <i>
      <x v="42"/>
    </i>
    <i>
      <x v="43"/>
    </i>
    <i>
      <x v="44"/>
    </i>
    <i>
      <x v="45"/>
    </i>
    <i>
      <x v="46"/>
    </i>
    <i>
      <x v="47"/>
    </i>
    <i>
      <x v="48"/>
    </i>
    <i>
      <x v="49"/>
    </i>
    <i>
      <x v="50"/>
    </i>
    <i>
      <x v="51"/>
    </i>
    <i>
      <x v="52"/>
    </i>
    <i>
      <x v="53"/>
    </i>
    <i>
      <x v="54"/>
    </i>
    <i>
      <x v="55"/>
    </i>
    <i>
      <x v="56"/>
    </i>
    <i>
      <x v="57"/>
    </i>
    <i t="grand">
      <x/>
    </i>
  </rowItems>
  <colFields count="1">
    <field x="-2"/>
  </colFields>
  <colItems count="2">
    <i>
      <x/>
    </i>
    <i i="1">
      <x v="1"/>
    </i>
  </colItems>
  <pageFields count="1">
    <pageField fld="0" hier="-1"/>
  </pageFields>
  <dataFields count="2">
    <dataField name="Sum of Purchase $" fld="4" baseField="1" baseItem="0"/>
    <dataField name="Sum of Sale $" fld="5" baseField="1" baseItem="0"/>
  </dataField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_names" xr10:uid="{DC11C32F-05E3-4518-BD2B-F0119B6FFD16}" sourceName="Platform names">
  <pivotTables>
    <pivotTable tabId="4" name="PivotTable5"/>
    <pivotTable tabId="4" name="PivotTable2"/>
    <pivotTable tabId="4" name="PivotTable3"/>
    <pivotTable tabId="4" name="PivotTable6"/>
  </pivotTables>
  <data>
    <tabular pivotCacheId="1264346096">
      <items count="4">
        <i x="0" s="1"/>
        <i x="3" s="1"/>
        <i x="2"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s" xr10:uid="{30B0CB05-E723-4C8D-9E6B-45355DF53A3E}" sourceName="Product names">
  <pivotTables>
    <pivotTable tabId="4" name="PivotTable5"/>
    <pivotTable tabId="4" name="PivotTable2"/>
    <pivotTable tabId="4" name="PivotTable3"/>
    <pivotTable tabId="4" name="PivotTable6"/>
  </pivotTables>
  <data>
    <tabular pivotCacheId="1264346096">
      <items count="58">
        <i x="0" s="1"/>
        <i x="1" s="1"/>
        <i x="2" s="1"/>
        <i x="3" s="1"/>
        <i x="4" s="1"/>
        <i x="5" s="1"/>
        <i x="6" s="1"/>
        <i x="7" s="1"/>
        <i x="8" s="1"/>
        <i x="14" s="1"/>
        <i x="15" s="1"/>
        <i x="16" s="1"/>
        <i x="17" s="1"/>
        <i x="18" s="1"/>
        <i x="19" s="1"/>
        <i x="10" s="1"/>
        <i x="11" s="1"/>
        <i x="12" s="1"/>
        <i x="13" s="1"/>
        <i x="9"/>
        <i x="50" s="1" nd="1"/>
        <i x="24" s="1" nd="1"/>
        <i x="41" s="1" nd="1"/>
        <i x="55" s="1" nd="1"/>
        <i x="29" s="1" nd="1"/>
        <i x="46" s="1" nd="1"/>
        <i x="21" s="1" nd="1"/>
        <i x="37" s="1" nd="1"/>
        <i x="53" s="1" nd="1"/>
        <i x="45" s="1" nd="1"/>
        <i x="54" s="1" nd="1"/>
        <i x="22" s="1" nd="1"/>
        <i x="30" s="1" nd="1"/>
        <i x="40" s="1" nd="1"/>
        <i x="49" s="1" nd="1"/>
        <i x="57" s="1" nd="1"/>
        <i x="23" s="1" nd="1"/>
        <i x="35" s="1" nd="1"/>
        <i x="25" s="1" nd="1"/>
        <i x="28" s="1" nd="1"/>
        <i x="33" s="1" nd="1"/>
        <i x="36" s="1" nd="1"/>
        <i x="38" s="1" nd="1"/>
        <i x="44" s="1" nd="1"/>
        <i x="52" s="1" nd="1"/>
        <i x="26" s="1" nd="1"/>
        <i x="43" s="1" nd="1"/>
        <i x="56" s="1" nd="1"/>
        <i x="32" s="1" nd="1"/>
        <i x="48" s="1" nd="1"/>
        <i x="27" s="1" nd="1"/>
        <i x="34" s="1" nd="1"/>
        <i x="39" s="1" nd="1"/>
        <i x="47" s="1" nd="1"/>
        <i x="20" s="1" nd="1"/>
        <i x="51" s="1" nd="1"/>
        <i x="42" s="1" nd="1"/>
        <i x="3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_status" xr10:uid="{1732733E-0498-4A6F-9678-2F4CD40C07ED}" sourceName="Stock status">
  <pivotTables>
    <pivotTable tabId="4" name="PivotTable2"/>
  </pivotTables>
  <data>
    <tabular pivotCacheId="1264346096">
      <items count="4">
        <i x="0" s="1"/>
        <i x="1" s="1"/>
        <i x="3" s="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names" xr10:uid="{1CA3351B-039A-4F73-8899-86B080444D60}" cache="Slicer_Platform_names" caption="Platform names" style="SlicerStyleLight1 2" rowHeight="234950"/>
  <slicer name="Product names" xr10:uid="{C7EEB134-C42E-425F-B975-7BC11839CD82}" cache="Slicer_Product_names" caption="Product names" style="SlicerStyleLight1 2" rowHeight="234950"/>
  <slicer name="Stock status" xr10:uid="{F02629F3-9A52-4D73-87AB-828B5218A0FA}" cache="Slicer_Stock_status" caption="Stock status" style="SlicerStyleLight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81"/>
  <sheetViews>
    <sheetView workbookViewId="0">
      <selection activeCell="G13" sqref="G13"/>
    </sheetView>
  </sheetViews>
  <sheetFormatPr defaultRowHeight="14.4" x14ac:dyDescent="0.3"/>
  <cols>
    <col min="1" max="1" width="1.77734375" style="21" customWidth="1"/>
    <col min="2" max="2" width="25.77734375" style="21" customWidth="1"/>
    <col min="3" max="4" width="10.5546875" style="11" bestFit="1" customWidth="1"/>
    <col min="5" max="5" width="8.33203125" style="11" bestFit="1" customWidth="1"/>
    <col min="6" max="6" width="19.33203125" style="4" bestFit="1" customWidth="1"/>
    <col min="7" max="7" width="15.88671875" style="11" bestFit="1" customWidth="1"/>
    <col min="8" max="8" width="23" style="12" bestFit="1" customWidth="1"/>
    <col min="9" max="9" width="14.33203125" style="12" bestFit="1" customWidth="1"/>
    <col min="10" max="10" width="6.21875" style="11" bestFit="1" customWidth="1"/>
    <col min="11" max="11" width="12" style="12" bestFit="1" customWidth="1"/>
    <col min="12" max="12" width="15.88671875" style="13" bestFit="1" customWidth="1"/>
    <col min="13" max="13" width="34.5546875" style="11" customWidth="1"/>
    <col min="14" max="16384" width="8.88671875" style="4"/>
  </cols>
  <sheetData>
    <row r="1" spans="1:13" ht="15" thickBot="1" x14ac:dyDescent="0.35">
      <c r="A1" s="20"/>
      <c r="B1" s="20"/>
      <c r="C1" s="4"/>
      <c r="D1" s="4"/>
      <c r="E1" s="4"/>
      <c r="G1" s="4"/>
      <c r="H1" s="5"/>
      <c r="I1" s="5"/>
      <c r="J1" s="4"/>
      <c r="K1" s="5"/>
      <c r="L1" s="6"/>
      <c r="M1" s="4"/>
    </row>
    <row r="2" spans="1:13" ht="15" thickBot="1" x14ac:dyDescent="0.35">
      <c r="A2" s="20"/>
      <c r="B2" s="32"/>
      <c r="C2" s="1" t="s">
        <v>0</v>
      </c>
      <c r="D2" s="1" t="s">
        <v>1</v>
      </c>
      <c r="E2" s="1" t="s">
        <v>2</v>
      </c>
      <c r="F2" s="1" t="s">
        <v>45</v>
      </c>
      <c r="G2" s="1" t="s">
        <v>9</v>
      </c>
      <c r="H2" s="2" t="s">
        <v>12</v>
      </c>
      <c r="I2" s="2" t="s">
        <v>28</v>
      </c>
      <c r="J2" s="1" t="s">
        <v>17</v>
      </c>
      <c r="K2" s="2" t="s">
        <v>16</v>
      </c>
      <c r="L2" s="3" t="s">
        <v>19</v>
      </c>
      <c r="M2" s="1" t="s">
        <v>8</v>
      </c>
    </row>
    <row r="3" spans="1:13" ht="15" thickBot="1" x14ac:dyDescent="0.35">
      <c r="A3" s="20"/>
      <c r="B3" s="33"/>
      <c r="C3" s="7">
        <v>44216</v>
      </c>
      <c r="D3" s="8" t="s">
        <v>3</v>
      </c>
      <c r="E3" s="8" t="s">
        <v>7</v>
      </c>
      <c r="F3" s="8"/>
      <c r="G3" s="8" t="s">
        <v>52</v>
      </c>
      <c r="H3" s="17">
        <f>IFERROR(IF(E3="supply",VLOOKUP(F3,'Stocks sheet'!$O$2:$W$100,2,0),VLOOKUP(G3,'Stocks sheet'!$D$2:$F$98,2,0)),"")</f>
        <v>100</v>
      </c>
      <c r="I3" s="9"/>
      <c r="J3" s="8">
        <v>10</v>
      </c>
      <c r="K3" s="17">
        <f>IFERROR(J3*H3+I3,"")</f>
        <v>1000</v>
      </c>
      <c r="L3" s="18">
        <f>IFERROR(IF(E3="supply",VLOOKUP(F3,'Stocks sheet'!#REF!,8,0),VLOOKUP(G3,'Stocks sheet'!$D$2:$L$98,9,0)),"")</f>
        <v>12</v>
      </c>
      <c r="M3" s="8"/>
    </row>
    <row r="4" spans="1:13" ht="15" thickBot="1" x14ac:dyDescent="0.35">
      <c r="A4" s="20"/>
      <c r="B4" s="33"/>
      <c r="C4" s="7">
        <v>44216</v>
      </c>
      <c r="D4" s="8" t="s">
        <v>3</v>
      </c>
      <c r="E4" s="8" t="s">
        <v>6</v>
      </c>
      <c r="F4" s="8"/>
      <c r="G4" s="8" t="s">
        <v>54</v>
      </c>
      <c r="H4" s="17">
        <f>IFERROR(IF(E4="supply",VLOOKUP(F4,'Stocks sheet'!$O$2:$W$100,2,0),VLOOKUP(G4,'Stocks sheet'!$D$2:$F$98,2,0)),"")</f>
        <v>300</v>
      </c>
      <c r="I4" s="9"/>
      <c r="J4" s="8">
        <v>12</v>
      </c>
      <c r="K4" s="17">
        <f t="shared" ref="K4:K67" si="0">IFERROR(J4*H4+I4,"")</f>
        <v>3600</v>
      </c>
      <c r="L4" s="18">
        <f>IFERROR(IF(E4="supply",VLOOKUP(F4,'Stocks sheet'!#REF!,8,0),VLOOKUP(G4,'Stocks sheet'!$D$2:$L$98,9,0)),"")</f>
        <v>-33</v>
      </c>
      <c r="M4" s="8"/>
    </row>
    <row r="5" spans="1:13" ht="15" thickBot="1" x14ac:dyDescent="0.35">
      <c r="A5" s="20"/>
      <c r="B5" s="33"/>
      <c r="C5" s="7">
        <v>44582</v>
      </c>
      <c r="D5" s="8" t="s">
        <v>3</v>
      </c>
      <c r="E5" s="8" t="s">
        <v>7</v>
      </c>
      <c r="F5" s="8"/>
      <c r="G5" s="8" t="s">
        <v>53</v>
      </c>
      <c r="H5" s="17">
        <f>IFERROR(IF(E5="supply",VLOOKUP(F5,'Stocks sheet'!$O$2:$W$100,2,0),VLOOKUP(G5,'Stocks sheet'!$D$2:$F$98,2,0)),"")</f>
        <v>200</v>
      </c>
      <c r="I5" s="9"/>
      <c r="J5" s="8">
        <v>15</v>
      </c>
      <c r="K5" s="17">
        <f t="shared" si="0"/>
        <v>3000</v>
      </c>
      <c r="L5" s="18">
        <f>IFERROR(IF(E5="supply",VLOOKUP(F5,'Stocks sheet'!#REF!,8,0),VLOOKUP(G5,'Stocks sheet'!$D$2:$L$98,9,0)),"")</f>
        <v>11</v>
      </c>
      <c r="M5" s="8"/>
    </row>
    <row r="6" spans="1:13" ht="15" thickBot="1" x14ac:dyDescent="0.35">
      <c r="A6" s="20"/>
      <c r="B6" s="33"/>
      <c r="C6" s="7">
        <v>44641</v>
      </c>
      <c r="D6" s="8" t="s">
        <v>3</v>
      </c>
      <c r="E6" s="8" t="s">
        <v>6</v>
      </c>
      <c r="F6" s="8"/>
      <c r="G6" s="8" t="s">
        <v>56</v>
      </c>
      <c r="H6" s="17">
        <f>IFERROR(IF(E6="supply",VLOOKUP(F6,'Stocks sheet'!$O$2:$W$100,2,0),VLOOKUP(G6,'Stocks sheet'!$D$2:$F$98,2,0)),"")</f>
        <v>500</v>
      </c>
      <c r="I6" s="9"/>
      <c r="J6" s="8">
        <v>12</v>
      </c>
      <c r="K6" s="17">
        <f t="shared" si="0"/>
        <v>6000</v>
      </c>
      <c r="L6" s="18">
        <f>IFERROR(IF(E6="supply",VLOOKUP(F6,'Stocks sheet'!#REF!,8,0),VLOOKUP(G6,'Stocks sheet'!$D$2:$L$98,9,0)),"")</f>
        <v>-3</v>
      </c>
      <c r="M6" s="8"/>
    </row>
    <row r="7" spans="1:13" ht="15" thickBot="1" x14ac:dyDescent="0.35">
      <c r="A7" s="20"/>
      <c r="B7" s="33"/>
      <c r="C7" s="7">
        <v>44648</v>
      </c>
      <c r="D7" s="8" t="s">
        <v>3</v>
      </c>
      <c r="E7" s="8" t="s">
        <v>6</v>
      </c>
      <c r="F7" s="8"/>
      <c r="G7" s="8" t="s">
        <v>58</v>
      </c>
      <c r="H7" s="17">
        <f>IFERROR(IF(E7="supply",VLOOKUP(F7,'Stocks sheet'!$O$2:$W$100,2,0),VLOOKUP(G7,'Stocks sheet'!$D$2:$F$98,2,0)),"")</f>
        <v>700</v>
      </c>
      <c r="I7" s="9"/>
      <c r="J7" s="8">
        <v>15</v>
      </c>
      <c r="K7" s="17">
        <f t="shared" si="0"/>
        <v>10500</v>
      </c>
      <c r="L7" s="18">
        <f>IFERROR(IF(E7="supply",VLOOKUP(F7,'Stocks sheet'!#REF!,8,0),VLOOKUP(G7,'Stocks sheet'!$D$2:$L$98,9,0)),"")</f>
        <v>14</v>
      </c>
      <c r="M7" s="8"/>
    </row>
    <row r="8" spans="1:13" ht="15" thickBot="1" x14ac:dyDescent="0.35">
      <c r="A8" s="20"/>
      <c r="B8" s="33"/>
      <c r="C8" s="7">
        <v>44752</v>
      </c>
      <c r="D8" s="8" t="s">
        <v>3</v>
      </c>
      <c r="E8" s="8" t="s">
        <v>7</v>
      </c>
      <c r="F8" s="8"/>
      <c r="G8" s="8" t="s">
        <v>60</v>
      </c>
      <c r="H8" s="17">
        <f>IFERROR(IF(E8="supply",VLOOKUP(F8,'Stocks sheet'!$O$2:$W$100,2,0),VLOOKUP(G8,'Stocks sheet'!$D$2:$F$98,2,0)),"")</f>
        <v>900</v>
      </c>
      <c r="I8" s="9"/>
      <c r="J8" s="8">
        <v>15</v>
      </c>
      <c r="K8" s="17">
        <f t="shared" si="0"/>
        <v>13500</v>
      </c>
      <c r="L8" s="18">
        <f>IFERROR(IF(E8="supply",VLOOKUP(F8,'Stocks sheet'!#REF!,8,0),VLOOKUP(G8,'Stocks sheet'!$D$2:$L$98,9,0)),"")</f>
        <v>36</v>
      </c>
      <c r="M8" s="8"/>
    </row>
    <row r="9" spans="1:13" ht="15" thickBot="1" x14ac:dyDescent="0.35">
      <c r="A9" s="20"/>
      <c r="B9" s="33"/>
      <c r="C9" s="7">
        <v>44757</v>
      </c>
      <c r="D9" s="8" t="s">
        <v>3</v>
      </c>
      <c r="E9" s="8" t="s">
        <v>6</v>
      </c>
      <c r="F9" s="8"/>
      <c r="G9" s="8" t="s">
        <v>54</v>
      </c>
      <c r="H9" s="17">
        <f>IFERROR(IF(E9="supply",VLOOKUP(F9,'Stocks sheet'!$O$2:$W$100,2,0),VLOOKUP(G9,'Stocks sheet'!$D$2:$F$98,2,0)),"")</f>
        <v>300</v>
      </c>
      <c r="I9" s="9"/>
      <c r="J9" s="8">
        <v>12</v>
      </c>
      <c r="K9" s="17">
        <f t="shared" si="0"/>
        <v>3600</v>
      </c>
      <c r="L9" s="18">
        <f>IFERROR(IF(E9="supply",VLOOKUP(F9,'Stocks sheet'!#REF!,8,0),VLOOKUP(G9,'Stocks sheet'!$D$2:$L$98,9,0)),"")</f>
        <v>-33</v>
      </c>
      <c r="M9" s="8"/>
    </row>
    <row r="10" spans="1:13" ht="15" thickBot="1" x14ac:dyDescent="0.35">
      <c r="A10" s="20"/>
      <c r="B10" s="33"/>
      <c r="C10" s="7">
        <v>44856</v>
      </c>
      <c r="D10" s="8" t="s">
        <v>3</v>
      </c>
      <c r="E10" s="8" t="s">
        <v>6</v>
      </c>
      <c r="F10" s="8"/>
      <c r="G10" s="8" t="s">
        <v>53</v>
      </c>
      <c r="H10" s="17">
        <f>IFERROR(IF(E10="supply",VLOOKUP(F10,'Stocks sheet'!$O$2:$W$100,2,0),VLOOKUP(G10,'Stocks sheet'!$D$2:$F$98,2,0)),"")</f>
        <v>200</v>
      </c>
      <c r="I10" s="9"/>
      <c r="J10" s="8">
        <v>10</v>
      </c>
      <c r="K10" s="17">
        <f t="shared" si="0"/>
        <v>2000</v>
      </c>
      <c r="L10" s="18">
        <f>IFERROR(IF(E10="supply",VLOOKUP(F10,'Stocks sheet'!#REF!,8,0),VLOOKUP(G10,'Stocks sheet'!$D$2:$L$98,9,0)),"")</f>
        <v>11</v>
      </c>
      <c r="M10" s="8"/>
    </row>
    <row r="11" spans="1:13" ht="15" thickBot="1" x14ac:dyDescent="0.35">
      <c r="A11" s="20"/>
      <c r="B11" s="33"/>
      <c r="C11" s="7">
        <v>44892</v>
      </c>
      <c r="D11" s="8" t="s">
        <v>3</v>
      </c>
      <c r="E11" s="8" t="s">
        <v>6</v>
      </c>
      <c r="F11" s="8"/>
      <c r="G11" s="8" t="s">
        <v>56</v>
      </c>
      <c r="H11" s="17">
        <f>IFERROR(IF(E11="supply",VLOOKUP(F11,'Stocks sheet'!$O$2:$W$100,2,0),VLOOKUP(G11,'Stocks sheet'!$D$2:$F$98,2,0)),"")</f>
        <v>500</v>
      </c>
      <c r="I11" s="9"/>
      <c r="J11" s="8">
        <v>11</v>
      </c>
      <c r="K11" s="17">
        <f t="shared" si="0"/>
        <v>5500</v>
      </c>
      <c r="L11" s="18">
        <f>IFERROR(IF(E11="supply",VLOOKUP(F11,'Stocks sheet'!#REF!,8,0),VLOOKUP(G11,'Stocks sheet'!$D$2:$L$98,9,0)),"")</f>
        <v>-3</v>
      </c>
      <c r="M11" s="8"/>
    </row>
    <row r="12" spans="1:13" ht="15" thickBot="1" x14ac:dyDescent="0.35">
      <c r="A12" s="20"/>
      <c r="B12" s="33"/>
      <c r="C12" s="7">
        <v>44895</v>
      </c>
      <c r="D12" s="8" t="s">
        <v>3</v>
      </c>
      <c r="E12" s="8" t="s">
        <v>6</v>
      </c>
      <c r="F12" s="8"/>
      <c r="G12" s="8" t="s">
        <v>53</v>
      </c>
      <c r="H12" s="17">
        <f>IFERROR(IF(E12="supply",VLOOKUP(F12,'Stocks sheet'!$O$2:$W$100,2,0),VLOOKUP(G12,'Stocks sheet'!$D$2:$F$98,2,0)),"")</f>
        <v>200</v>
      </c>
      <c r="I12" s="9"/>
      <c r="J12" s="8">
        <v>14</v>
      </c>
      <c r="K12" s="17">
        <f t="shared" si="0"/>
        <v>2800</v>
      </c>
      <c r="L12" s="18">
        <f>IFERROR(IF(E12="supply",VLOOKUP(F12,'Stocks sheet'!#REF!,8,0),VLOOKUP(G12,'Stocks sheet'!$D$2:$L$98,9,0)),"")</f>
        <v>11</v>
      </c>
      <c r="M12" s="8"/>
    </row>
    <row r="13" spans="1:13" ht="15" thickBot="1" x14ac:dyDescent="0.35">
      <c r="A13" s="20"/>
      <c r="B13" s="33"/>
      <c r="C13" s="7">
        <v>44216</v>
      </c>
      <c r="D13" s="8" t="s">
        <v>4</v>
      </c>
      <c r="E13" s="8" t="s">
        <v>6</v>
      </c>
      <c r="F13" s="8"/>
      <c r="G13" s="8" t="s">
        <v>63</v>
      </c>
      <c r="H13" s="17">
        <f>IFERROR(IF(E13="supply",VLOOKUP(F13,'Stocks sheet'!$O$2:$W$100,2,0),VLOOKUP(G13,'Stocks sheet'!$D$2:$F$98,2,0)),"")</f>
        <v>300</v>
      </c>
      <c r="I13" s="9"/>
      <c r="J13" s="8">
        <v>2</v>
      </c>
      <c r="K13" s="17">
        <f t="shared" si="0"/>
        <v>600</v>
      </c>
      <c r="L13" s="18">
        <f>IFERROR(IF(E13="supply",VLOOKUP(F13,'Stocks sheet'!#REF!,8,0),VLOOKUP(G13,'Stocks sheet'!$D$2:$L$98,9,0)),"")</f>
        <v>0</v>
      </c>
      <c r="M13" s="8"/>
    </row>
    <row r="14" spans="1:13" ht="15" thickBot="1" x14ac:dyDescent="0.35">
      <c r="A14" s="20"/>
      <c r="B14" s="33"/>
      <c r="C14" s="7">
        <v>44582</v>
      </c>
      <c r="D14" s="8" t="s">
        <v>4</v>
      </c>
      <c r="E14" s="8" t="s">
        <v>6</v>
      </c>
      <c r="F14" s="8"/>
      <c r="G14" s="8" t="s">
        <v>61</v>
      </c>
      <c r="H14" s="17">
        <f>IFERROR(IF(E14="supply",VLOOKUP(F14,'Stocks sheet'!$O$2:$W$100,2,0),VLOOKUP(G14,'Stocks sheet'!$D$2:$F$98,2,0)),"")</f>
        <v>100</v>
      </c>
      <c r="I14" s="9"/>
      <c r="J14" s="8">
        <v>2</v>
      </c>
      <c r="K14" s="17">
        <f t="shared" si="0"/>
        <v>200</v>
      </c>
      <c r="L14" s="18">
        <f>IFERROR(IF(E14="supply",VLOOKUP(F14,'Stocks sheet'!#REF!,8,0),VLOOKUP(G14,'Stocks sheet'!$D$2:$L$98,9,0)),"")</f>
        <v>2</v>
      </c>
      <c r="M14" s="8"/>
    </row>
    <row r="15" spans="1:13" ht="15" thickBot="1" x14ac:dyDescent="0.35">
      <c r="A15" s="20"/>
      <c r="B15" s="33"/>
      <c r="C15" s="7">
        <v>44641</v>
      </c>
      <c r="D15" s="8" t="s">
        <v>4</v>
      </c>
      <c r="E15" s="8" t="s">
        <v>6</v>
      </c>
      <c r="F15" s="8"/>
      <c r="G15" s="8" t="s">
        <v>63</v>
      </c>
      <c r="H15" s="17">
        <f>IFERROR(IF(E15="supply",VLOOKUP(F15,'Stocks sheet'!$O$2:$W$100,2,0),VLOOKUP(G15,'Stocks sheet'!$D$2:$F$98,2,0)),"")</f>
        <v>300</v>
      </c>
      <c r="I15" s="9"/>
      <c r="J15" s="8">
        <v>3</v>
      </c>
      <c r="K15" s="17">
        <f t="shared" si="0"/>
        <v>900</v>
      </c>
      <c r="L15" s="18">
        <f>IFERROR(IF(E15="supply",VLOOKUP(F15,'Stocks sheet'!#REF!,8,0),VLOOKUP(G15,'Stocks sheet'!$D$2:$L$98,9,0)),"")</f>
        <v>0</v>
      </c>
      <c r="M15" s="8"/>
    </row>
    <row r="16" spans="1:13" ht="15" thickBot="1" x14ac:dyDescent="0.35">
      <c r="A16" s="20"/>
      <c r="B16" s="33"/>
      <c r="C16" s="7">
        <v>44648</v>
      </c>
      <c r="D16" s="8" t="s">
        <v>4</v>
      </c>
      <c r="E16" s="8" t="s">
        <v>6</v>
      </c>
      <c r="F16" s="8"/>
      <c r="G16" s="8" t="s">
        <v>54</v>
      </c>
      <c r="H16" s="17">
        <f>IFERROR(IF(E16="supply",VLOOKUP(F16,'Stocks sheet'!$O$2:$W$100,2,0),VLOOKUP(G16,'Stocks sheet'!$D$2:$F$98,2,0)),"")</f>
        <v>300</v>
      </c>
      <c r="I16" s="9"/>
      <c r="J16" s="8">
        <v>12</v>
      </c>
      <c r="K16" s="17">
        <f t="shared" si="0"/>
        <v>3600</v>
      </c>
      <c r="L16" s="18">
        <f>IFERROR(IF(E16="supply",VLOOKUP(F16,'Stocks sheet'!#REF!,8,0),VLOOKUP(G16,'Stocks sheet'!$D$2:$L$98,9,0)),"")</f>
        <v>-33</v>
      </c>
      <c r="M16" s="8"/>
    </row>
    <row r="17" spans="1:13" ht="15" thickBot="1" x14ac:dyDescent="0.35">
      <c r="A17" s="20"/>
      <c r="B17" s="33"/>
      <c r="C17" s="7">
        <v>44641</v>
      </c>
      <c r="D17" s="8" t="s">
        <v>5</v>
      </c>
      <c r="E17" s="8" t="s">
        <v>6</v>
      </c>
      <c r="F17" s="8"/>
      <c r="G17" s="8" t="s">
        <v>69</v>
      </c>
      <c r="H17" s="17">
        <f>IFERROR(IF(E17="supply",VLOOKUP(F17,'Stocks sheet'!$O$2:$W$100,2,0),VLOOKUP(G17,'Stocks sheet'!$D$2:$F$98,2,0)),"")</f>
        <v>500</v>
      </c>
      <c r="I17" s="9"/>
      <c r="J17" s="8">
        <v>11</v>
      </c>
      <c r="K17" s="17">
        <f t="shared" si="0"/>
        <v>5500</v>
      </c>
      <c r="L17" s="18">
        <f>IFERROR(IF(E17="supply",VLOOKUP(F17,'Stocks sheet'!#REF!,8,0),VLOOKUP(G17,'Stocks sheet'!$D$2:$L$98,9,0)),"")</f>
        <v>9</v>
      </c>
      <c r="M17" s="8"/>
    </row>
    <row r="18" spans="1:13" ht="15" thickBot="1" x14ac:dyDescent="0.35">
      <c r="A18" s="20"/>
      <c r="B18" s="33"/>
      <c r="C18" s="7">
        <v>44648</v>
      </c>
      <c r="D18" s="8" t="s">
        <v>5</v>
      </c>
      <c r="E18" s="8" t="s">
        <v>7</v>
      </c>
      <c r="F18" s="8"/>
      <c r="G18" s="8" t="s">
        <v>67</v>
      </c>
      <c r="H18" s="17">
        <f>IFERROR(IF(E18="supply",VLOOKUP(F18,'Stocks sheet'!$O$2:$W$100,2,0),VLOOKUP(G18,'Stocks sheet'!$D$2:$F$98,2,0)),"")</f>
        <v>300</v>
      </c>
      <c r="I18" s="9"/>
      <c r="J18" s="8">
        <v>6</v>
      </c>
      <c r="K18" s="17">
        <f t="shared" si="0"/>
        <v>1800</v>
      </c>
      <c r="L18" s="18">
        <f>IFERROR(IF(E18="supply",VLOOKUP(F18,'Stocks sheet'!O1:W99,8,0),VLOOKUP(G18,'Stocks sheet'!$D$2:$L$98,9,0)),"")</f>
        <v>35</v>
      </c>
      <c r="M18" s="8"/>
    </row>
    <row r="19" spans="1:13" ht="15" thickBot="1" x14ac:dyDescent="0.35">
      <c r="A19" s="20"/>
      <c r="B19" s="33"/>
      <c r="C19" s="10"/>
      <c r="D19" s="8"/>
      <c r="E19" s="8" t="s">
        <v>36</v>
      </c>
      <c r="F19" s="8" t="s">
        <v>41</v>
      </c>
      <c r="G19" s="8"/>
      <c r="H19" s="17">
        <f>IFERROR(IF(E19="supply",VLOOKUP(F19,'Stocks sheet'!$O$2:$W$100,2,0),VLOOKUP(G19,'Stocks sheet'!$D$2:$F$98,2,0)),"")</f>
        <v>20</v>
      </c>
      <c r="I19" s="9"/>
      <c r="J19" s="8">
        <v>27</v>
      </c>
      <c r="K19" s="17">
        <f t="shared" si="0"/>
        <v>540</v>
      </c>
      <c r="L19" s="18">
        <f>IFERROR(IF(E19="supply",VLOOKUP(F19,'Stocks sheet'!O2:W100,8,0),VLOOKUP(G19,'Stocks sheet'!$D$2:$L$98,9,0)),"")</f>
        <v>24</v>
      </c>
      <c r="M19" s="8"/>
    </row>
    <row r="20" spans="1:13" ht="15" thickBot="1" x14ac:dyDescent="0.35">
      <c r="A20" s="20"/>
      <c r="B20" s="33"/>
      <c r="C20" s="10"/>
      <c r="D20" s="8"/>
      <c r="E20" s="8" t="s">
        <v>36</v>
      </c>
      <c r="F20" s="8"/>
      <c r="G20" s="8"/>
      <c r="H20" s="17" t="str">
        <f>IFERROR(IF(E20="supply",VLOOKUP(F20,'Stocks sheet'!$O$2:$W$100,2,0),VLOOKUP(G20,'Stocks sheet'!$D$2:$F$98,2,0)),"")</f>
        <v/>
      </c>
      <c r="I20" s="9"/>
      <c r="J20" s="8">
        <v>19</v>
      </c>
      <c r="K20" s="17" t="str">
        <f t="shared" si="0"/>
        <v/>
      </c>
      <c r="L20" s="18" t="str">
        <f>IFERROR(IF(E20="supply",VLOOKUP(F20,'Stocks sheet'!#REF!,8,0),VLOOKUP(G20,'Stocks sheet'!$D$2:$L$98,9,0)),"")</f>
        <v/>
      </c>
      <c r="M20" s="8"/>
    </row>
    <row r="21" spans="1:13" ht="15" thickBot="1" x14ac:dyDescent="0.35">
      <c r="A21" s="20"/>
      <c r="B21" s="33"/>
      <c r="C21" s="10"/>
      <c r="D21" s="8"/>
      <c r="E21" s="8" t="s">
        <v>36</v>
      </c>
      <c r="F21" s="8" t="s">
        <v>51</v>
      </c>
      <c r="G21" s="8"/>
      <c r="H21" s="17">
        <f>IFERROR(IF(E21="supply",VLOOKUP(F21,'Stocks sheet'!$O$2:$W$100,2,0),VLOOKUP(G21,'Stocks sheet'!$D$2:$F$98,2,0)),"")</f>
        <v>15</v>
      </c>
      <c r="I21" s="9"/>
      <c r="J21" s="8">
        <v>25</v>
      </c>
      <c r="K21" s="17">
        <f t="shared" si="0"/>
        <v>375</v>
      </c>
      <c r="L21" s="18" t="str">
        <f>IFERROR(IF(E21="supply",VLOOKUP(F21,'Stocks sheet'!#REF!,8,0),VLOOKUP(G21,'Stocks sheet'!$D$2:$L$98,9,0)),"")</f>
        <v/>
      </c>
      <c r="M21" s="8"/>
    </row>
    <row r="22" spans="1:13" ht="15" thickBot="1" x14ac:dyDescent="0.35">
      <c r="A22" s="20"/>
      <c r="B22" s="33"/>
      <c r="C22" s="10"/>
      <c r="D22" s="8"/>
      <c r="E22" s="8"/>
      <c r="F22" s="8"/>
      <c r="G22" s="8"/>
      <c r="H22" s="17" t="str">
        <f>IFERROR(IF(E22="supply",VLOOKUP(F22,'Stocks sheet'!$O$2:$W$100,2,0),VLOOKUP(G22,'Stocks sheet'!$D$2:$F$98,2,0)),"")</f>
        <v/>
      </c>
      <c r="I22" s="9"/>
      <c r="J22" s="8"/>
      <c r="K22" s="17" t="str">
        <f t="shared" si="0"/>
        <v/>
      </c>
      <c r="L22" s="18" t="str">
        <f>IFERROR(IF(E22="supply",VLOOKUP(F22,'Stocks sheet'!#REF!,8,0),VLOOKUP(G22,'Stocks sheet'!$D$2:$L$98,9,0)),"")</f>
        <v/>
      </c>
      <c r="M22" s="8"/>
    </row>
    <row r="23" spans="1:13" ht="15" thickBot="1" x14ac:dyDescent="0.35">
      <c r="A23" s="20"/>
      <c r="B23" s="33"/>
      <c r="C23" s="10"/>
      <c r="D23" s="8"/>
      <c r="E23" s="8"/>
      <c r="F23" s="8"/>
      <c r="G23" s="8"/>
      <c r="H23" s="17" t="str">
        <f>IFERROR(IF(E23="supply",VLOOKUP(F23,'Stocks sheet'!$O$2:$W$100,2,0),VLOOKUP(G23,'Stocks sheet'!$D$2:$F$98,2,0)),"")</f>
        <v/>
      </c>
      <c r="I23" s="9"/>
      <c r="J23" s="8"/>
      <c r="K23" s="17" t="str">
        <f t="shared" si="0"/>
        <v/>
      </c>
      <c r="L23" s="18" t="str">
        <f>IFERROR(IF(E23="supply",VLOOKUP(F23,'Stocks sheet'!#REF!,8,0),VLOOKUP(G23,'Stocks sheet'!$D$2:$L$98,9,0)),"")</f>
        <v/>
      </c>
      <c r="M23" s="8"/>
    </row>
    <row r="24" spans="1:13" ht="15" thickBot="1" x14ac:dyDescent="0.35">
      <c r="A24" s="20"/>
      <c r="B24" s="33"/>
      <c r="C24" s="10"/>
      <c r="D24" s="8"/>
      <c r="E24" s="8"/>
      <c r="F24" s="8"/>
      <c r="G24" s="8"/>
      <c r="H24" s="17" t="str">
        <f>IFERROR(IF(E24="supply",VLOOKUP(F24,'Stocks sheet'!$O$2:$W$100,2,0),VLOOKUP(G24,'Stocks sheet'!$D$2:$F$98,2,0)),"")</f>
        <v/>
      </c>
      <c r="I24" s="9"/>
      <c r="J24" s="8"/>
      <c r="K24" s="17" t="str">
        <f t="shared" si="0"/>
        <v/>
      </c>
      <c r="L24" s="18" t="str">
        <f>IFERROR(IF(E24="supply",VLOOKUP(F24,'Stocks sheet'!#REF!,8,0),VLOOKUP(G24,'Stocks sheet'!$D$2:$L$98,9,0)),"")</f>
        <v/>
      </c>
      <c r="M24" s="8"/>
    </row>
    <row r="25" spans="1:13" ht="15" thickBot="1" x14ac:dyDescent="0.35">
      <c r="A25" s="20"/>
      <c r="B25" s="33"/>
      <c r="C25" s="10"/>
      <c r="D25" s="8"/>
      <c r="E25" s="8"/>
      <c r="F25" s="8"/>
      <c r="G25" s="8"/>
      <c r="H25" s="17" t="str">
        <f>IFERROR(IF(E25="supply",VLOOKUP(F25,'Stocks sheet'!$O$2:$W$100,2,0),VLOOKUP(G25,'Stocks sheet'!$D$2:$F$98,2,0)),"")</f>
        <v/>
      </c>
      <c r="I25" s="9"/>
      <c r="J25" s="8"/>
      <c r="K25" s="17" t="str">
        <f t="shared" si="0"/>
        <v/>
      </c>
      <c r="L25" s="18" t="str">
        <f>IFERROR(IF(E25="supply",VLOOKUP(F25,'Stocks sheet'!#REF!,8,0),VLOOKUP(G25,'Stocks sheet'!$D$2:$L$98,9,0)),"")</f>
        <v/>
      </c>
      <c r="M25" s="8"/>
    </row>
    <row r="26" spans="1:13" ht="15" thickBot="1" x14ac:dyDescent="0.35">
      <c r="A26" s="20"/>
      <c r="B26" s="33"/>
      <c r="C26" s="10"/>
      <c r="D26" s="8"/>
      <c r="E26" s="8"/>
      <c r="F26" s="8"/>
      <c r="G26" s="8"/>
      <c r="H26" s="17" t="str">
        <f>IFERROR(IF(E26="supply",VLOOKUP(F26,'Stocks sheet'!$O$2:$W$100,2,0),VLOOKUP(G26,'Stocks sheet'!$D$2:$F$98,2,0)),"")</f>
        <v/>
      </c>
      <c r="I26" s="9"/>
      <c r="J26" s="8"/>
      <c r="K26" s="17" t="str">
        <f t="shared" si="0"/>
        <v/>
      </c>
      <c r="L26" s="18" t="str">
        <f>IFERROR(IF(E26="supply",VLOOKUP(F26,'Stocks sheet'!#REF!,8,0),VLOOKUP(G26,'Stocks sheet'!$D$2:$L$98,9,0)),"")</f>
        <v/>
      </c>
      <c r="M26" s="8"/>
    </row>
    <row r="27" spans="1:13" ht="15" thickBot="1" x14ac:dyDescent="0.35">
      <c r="A27" s="20"/>
      <c r="B27" s="33"/>
      <c r="C27" s="10"/>
      <c r="D27" s="8"/>
      <c r="E27" s="8"/>
      <c r="F27" s="8"/>
      <c r="G27" s="8"/>
      <c r="H27" s="17" t="str">
        <f>IFERROR(IF(E27="supply",VLOOKUP(F27,'Stocks sheet'!$O$2:$W$100,2,0),VLOOKUP(G27,'Stocks sheet'!$D$2:$F$98,2,0)),"")</f>
        <v/>
      </c>
      <c r="I27" s="9"/>
      <c r="J27" s="8"/>
      <c r="K27" s="17" t="str">
        <f t="shared" si="0"/>
        <v/>
      </c>
      <c r="L27" s="18" t="str">
        <f>IFERROR(IF(E27="supply",VLOOKUP(F27,'Stocks sheet'!#REF!,8,0),VLOOKUP(G27,'Stocks sheet'!$D$2:$L$98,9,0)),"")</f>
        <v/>
      </c>
      <c r="M27" s="8"/>
    </row>
    <row r="28" spans="1:13" ht="15" thickBot="1" x14ac:dyDescent="0.35">
      <c r="A28" s="20"/>
      <c r="B28" s="33"/>
      <c r="C28" s="10"/>
      <c r="D28" s="8"/>
      <c r="E28" s="8"/>
      <c r="F28" s="8"/>
      <c r="G28" s="8"/>
      <c r="H28" s="17" t="str">
        <f>IFERROR(IF(E28="supply",VLOOKUP(F28,'Stocks sheet'!$O$2:$W$100,2,0),VLOOKUP(G28,'Stocks sheet'!$D$2:$F$98,2,0)),"")</f>
        <v/>
      </c>
      <c r="I28" s="9"/>
      <c r="J28" s="8"/>
      <c r="K28" s="17" t="str">
        <f t="shared" si="0"/>
        <v/>
      </c>
      <c r="L28" s="18" t="str">
        <f>IFERROR(IF(E28="supply",VLOOKUP(F28,'Stocks sheet'!#REF!,8,0),VLOOKUP(G28,'Stocks sheet'!$D$2:$L$98,9,0)),"")</f>
        <v/>
      </c>
      <c r="M28" s="8"/>
    </row>
    <row r="29" spans="1:13" ht="15" thickBot="1" x14ac:dyDescent="0.35">
      <c r="A29" s="20"/>
      <c r="B29" s="33"/>
      <c r="C29" s="10"/>
      <c r="D29" s="8"/>
      <c r="E29" s="8"/>
      <c r="F29" s="8"/>
      <c r="G29" s="8"/>
      <c r="H29" s="17" t="str">
        <f>IFERROR(IF(E29="supply",VLOOKUP(F29,'Stocks sheet'!$O$2:$W$100,2,0),VLOOKUP(G29,'Stocks sheet'!$D$2:$F$98,2,0)),"")</f>
        <v/>
      </c>
      <c r="I29" s="9"/>
      <c r="J29" s="8"/>
      <c r="K29" s="17" t="str">
        <f t="shared" si="0"/>
        <v/>
      </c>
      <c r="L29" s="18" t="str">
        <f>IFERROR(IF(E29="supply",VLOOKUP(F29,'Stocks sheet'!#REF!,8,0),VLOOKUP(G29,'Stocks sheet'!$D$2:$L$98,9,0)),"")</f>
        <v/>
      </c>
      <c r="M29" s="8"/>
    </row>
    <row r="30" spans="1:13" ht="15" thickBot="1" x14ac:dyDescent="0.35">
      <c r="A30" s="20"/>
      <c r="B30" s="33"/>
      <c r="C30" s="10"/>
      <c r="D30" s="8"/>
      <c r="E30" s="8"/>
      <c r="F30" s="8"/>
      <c r="G30" s="8"/>
      <c r="H30" s="17" t="str">
        <f>IFERROR(IF(E30="supply",VLOOKUP(F30,'Stocks sheet'!$O$2:$W$100,2,0),VLOOKUP(G30,'Stocks sheet'!$D$2:$F$98,2,0)),"")</f>
        <v/>
      </c>
      <c r="I30" s="9"/>
      <c r="J30" s="8"/>
      <c r="K30" s="17" t="str">
        <f t="shared" si="0"/>
        <v/>
      </c>
      <c r="L30" s="18" t="str">
        <f>IFERROR(IF(E30="supply",VLOOKUP(F30,'Stocks sheet'!#REF!,8,0),VLOOKUP(G30,'Stocks sheet'!$D$2:$L$98,9,0)),"")</f>
        <v/>
      </c>
      <c r="M30" s="8"/>
    </row>
    <row r="31" spans="1:13" ht="15" thickBot="1" x14ac:dyDescent="0.35">
      <c r="A31" s="20"/>
      <c r="B31" s="33"/>
      <c r="C31" s="10"/>
      <c r="D31" s="8"/>
      <c r="E31" s="8"/>
      <c r="F31" s="8"/>
      <c r="G31" s="8"/>
      <c r="H31" s="17" t="str">
        <f>IFERROR(IF(E31="supply",VLOOKUP(F31,'Stocks sheet'!$O$2:$W$100,2,0),VLOOKUP(G31,'Stocks sheet'!$D$2:$F$98,2,0)),"")</f>
        <v/>
      </c>
      <c r="I31" s="9"/>
      <c r="J31" s="8"/>
      <c r="K31" s="17" t="str">
        <f t="shared" si="0"/>
        <v/>
      </c>
      <c r="L31" s="18" t="str">
        <f>IFERROR(IF(E31="supply",VLOOKUP(F31,'Stocks sheet'!#REF!,8,0),VLOOKUP(G31,'Stocks sheet'!$D$2:$L$98,9,0)),"")</f>
        <v/>
      </c>
      <c r="M31" s="8"/>
    </row>
    <row r="32" spans="1:13" ht="15" thickBot="1" x14ac:dyDescent="0.35">
      <c r="A32" s="20"/>
      <c r="B32" s="33"/>
      <c r="C32" s="10"/>
      <c r="D32" s="8"/>
      <c r="E32" s="8"/>
      <c r="F32" s="8"/>
      <c r="G32" s="8"/>
      <c r="H32" s="17" t="str">
        <f>IFERROR(IF(E32="supply",VLOOKUP(F32,'Stocks sheet'!$O$2:$W$100,2,0),VLOOKUP(G32,'Stocks sheet'!$D$2:$F$98,2,0)),"")</f>
        <v/>
      </c>
      <c r="I32" s="9"/>
      <c r="J32" s="8"/>
      <c r="K32" s="17" t="str">
        <f t="shared" si="0"/>
        <v/>
      </c>
      <c r="L32" s="18" t="str">
        <f>IFERROR(IF(E32="supply",VLOOKUP(F32,'Stocks sheet'!#REF!,8,0),VLOOKUP(G32,'Stocks sheet'!$D$2:$L$98,9,0)),"")</f>
        <v/>
      </c>
      <c r="M32" s="8"/>
    </row>
    <row r="33" spans="1:13" ht="15" thickBot="1" x14ac:dyDescent="0.35">
      <c r="A33" s="20"/>
      <c r="B33" s="33"/>
      <c r="C33" s="10"/>
      <c r="D33" s="8"/>
      <c r="E33" s="8"/>
      <c r="F33" s="8"/>
      <c r="G33" s="8"/>
      <c r="H33" s="17" t="str">
        <f>IFERROR(IF(E33="supply",VLOOKUP(F33,'Stocks sheet'!$O$2:$W$100,2,0),VLOOKUP(G33,'Stocks sheet'!$D$2:$F$98,2,0)),"")</f>
        <v/>
      </c>
      <c r="I33" s="9"/>
      <c r="J33" s="8"/>
      <c r="K33" s="17" t="str">
        <f t="shared" si="0"/>
        <v/>
      </c>
      <c r="L33" s="18" t="str">
        <f>IFERROR(IF(E33="supply",VLOOKUP(F33,'Stocks sheet'!#REF!,8,0),VLOOKUP(G33,'Stocks sheet'!$D$2:$L$98,9,0)),"")</f>
        <v/>
      </c>
      <c r="M33" s="8"/>
    </row>
    <row r="34" spans="1:13" ht="15" thickBot="1" x14ac:dyDescent="0.35">
      <c r="A34" s="20"/>
      <c r="B34" s="33"/>
      <c r="C34" s="10"/>
      <c r="D34" s="8"/>
      <c r="E34" s="8"/>
      <c r="F34" s="8"/>
      <c r="G34" s="8"/>
      <c r="H34" s="17" t="str">
        <f>IFERROR(IF(E34="supply",VLOOKUP(F34,'Stocks sheet'!$O$2:$W$100,2,0),VLOOKUP(G34,'Stocks sheet'!$D$2:$F$98,2,0)),"")</f>
        <v/>
      </c>
      <c r="I34" s="9"/>
      <c r="J34" s="8"/>
      <c r="K34" s="17" t="str">
        <f t="shared" si="0"/>
        <v/>
      </c>
      <c r="L34" s="18" t="str">
        <f>IFERROR(IF(E34="supply",VLOOKUP(F34,'Stocks sheet'!#REF!,8,0),VLOOKUP(G34,'Stocks sheet'!$D$2:$L$98,9,0)),"")</f>
        <v/>
      </c>
      <c r="M34" s="8"/>
    </row>
    <row r="35" spans="1:13" ht="15" thickBot="1" x14ac:dyDescent="0.35">
      <c r="A35" s="20"/>
      <c r="B35" s="33"/>
      <c r="C35" s="10"/>
      <c r="D35" s="8"/>
      <c r="E35" s="8"/>
      <c r="F35" s="8"/>
      <c r="G35" s="8"/>
      <c r="H35" s="17" t="str">
        <f>IFERROR(IF(E35="supply",VLOOKUP(F35,'Stocks sheet'!$O$2:$W$100,2,0),VLOOKUP(G35,'Stocks sheet'!$D$2:$F$98,2,0)),"")</f>
        <v/>
      </c>
      <c r="I35" s="9"/>
      <c r="J35" s="8"/>
      <c r="K35" s="17" t="str">
        <f t="shared" si="0"/>
        <v/>
      </c>
      <c r="L35" s="18" t="str">
        <f>IFERROR(IF(E35="supply",VLOOKUP(F35,'Stocks sheet'!O18:W116,8,0),VLOOKUP(G35,'Stocks sheet'!$D$2:$L$98,9,0)),"")</f>
        <v/>
      </c>
      <c r="M35" s="8"/>
    </row>
    <row r="36" spans="1:13" ht="15" thickBot="1" x14ac:dyDescent="0.35">
      <c r="A36" s="20"/>
      <c r="B36" s="33"/>
      <c r="C36" s="10"/>
      <c r="D36" s="8"/>
      <c r="E36" s="8"/>
      <c r="F36" s="8"/>
      <c r="G36" s="8"/>
      <c r="H36" s="17" t="str">
        <f>IFERROR(IF(E36="supply",VLOOKUP(F36,'Stocks sheet'!$O$2:$W$100,2,0),VLOOKUP(G36,'Stocks sheet'!$D$2:$F$98,2,0)),"")</f>
        <v/>
      </c>
      <c r="I36" s="9"/>
      <c r="J36" s="8"/>
      <c r="K36" s="17" t="str">
        <f t="shared" si="0"/>
        <v/>
      </c>
      <c r="L36" s="18" t="str">
        <f>IFERROR(IF(E36="supply",VLOOKUP(F36,'Stocks sheet'!O19:W117,8,0),VLOOKUP(G36,'Stocks sheet'!$D$2:$L$98,9,0)),"")</f>
        <v/>
      </c>
      <c r="M36" s="8"/>
    </row>
    <row r="37" spans="1:13" ht="15" thickBot="1" x14ac:dyDescent="0.35">
      <c r="A37" s="20"/>
      <c r="B37" s="33"/>
      <c r="C37" s="10"/>
      <c r="D37" s="8"/>
      <c r="E37" s="8"/>
      <c r="F37" s="8"/>
      <c r="G37" s="8"/>
      <c r="H37" s="17" t="str">
        <f>IFERROR(IF(E37="supply",VLOOKUP(F37,'Stocks sheet'!$O$2:$W$100,2,0),VLOOKUP(G37,'Stocks sheet'!$D$2:$F$98,2,0)),"")</f>
        <v/>
      </c>
      <c r="I37" s="9"/>
      <c r="J37" s="8"/>
      <c r="K37" s="17" t="str">
        <f t="shared" si="0"/>
        <v/>
      </c>
      <c r="L37" s="18" t="str">
        <f>IFERROR(IF(E37="supply",VLOOKUP(F37,'Stocks sheet'!#REF!,8,0),VLOOKUP(G37,'Stocks sheet'!$D$2:$L$98,9,0)),"")</f>
        <v/>
      </c>
      <c r="M37" s="8"/>
    </row>
    <row r="38" spans="1:13" ht="15" thickBot="1" x14ac:dyDescent="0.35">
      <c r="A38" s="20"/>
      <c r="B38" s="33"/>
      <c r="C38" s="10"/>
      <c r="D38" s="8"/>
      <c r="E38" s="8"/>
      <c r="F38" s="8"/>
      <c r="G38" s="8"/>
      <c r="H38" s="17" t="str">
        <f>IFERROR(IF(E38="supply",VLOOKUP(F38,'Stocks sheet'!$O$2:$W$100,2,0),VLOOKUP(G38,'Stocks sheet'!$D$2:$F$98,2,0)),"")</f>
        <v/>
      </c>
      <c r="I38" s="9"/>
      <c r="J38" s="8"/>
      <c r="K38" s="17" t="str">
        <f t="shared" si="0"/>
        <v/>
      </c>
      <c r="L38" s="18" t="str">
        <f>IFERROR(IF(E38="supply",VLOOKUP(F38,'Stocks sheet'!#REF!,8,0),VLOOKUP(G38,'Stocks sheet'!$D$2:$L$98,9,0)),"")</f>
        <v/>
      </c>
      <c r="M38" s="8"/>
    </row>
    <row r="39" spans="1:13" ht="15" thickBot="1" x14ac:dyDescent="0.35">
      <c r="A39" s="20"/>
      <c r="B39" s="33"/>
      <c r="C39" s="10"/>
      <c r="D39" s="8"/>
      <c r="E39" s="8"/>
      <c r="F39" s="8"/>
      <c r="G39" s="8"/>
      <c r="H39" s="17" t="str">
        <f>IFERROR(IF(E39="supply",VLOOKUP(F39,'Stocks sheet'!$O$2:$W$100,2,0),VLOOKUP(G39,'Stocks sheet'!$D$2:$F$98,2,0)),"")</f>
        <v/>
      </c>
      <c r="I39" s="9"/>
      <c r="J39" s="8"/>
      <c r="K39" s="17" t="str">
        <f t="shared" si="0"/>
        <v/>
      </c>
      <c r="L39" s="18" t="str">
        <f>IFERROR(IF(E39="supply",VLOOKUP(F39,'Stocks sheet'!#REF!,8,0),VLOOKUP(G39,'Stocks sheet'!$D$2:$L$98,9,0)),"")</f>
        <v/>
      </c>
      <c r="M39" s="8"/>
    </row>
    <row r="40" spans="1:13" ht="15" thickBot="1" x14ac:dyDescent="0.35">
      <c r="A40" s="20"/>
      <c r="B40" s="33"/>
      <c r="C40" s="10"/>
      <c r="D40" s="8"/>
      <c r="E40" s="8"/>
      <c r="F40" s="8"/>
      <c r="G40" s="8"/>
      <c r="H40" s="17" t="str">
        <f>IFERROR(IF(E40="supply",VLOOKUP(F40,'Stocks sheet'!$O$2:$W$100,2,0),VLOOKUP(G40,'Stocks sheet'!$D$2:$F$98,2,0)),"")</f>
        <v/>
      </c>
      <c r="I40" s="9"/>
      <c r="J40" s="8"/>
      <c r="K40" s="17" t="str">
        <f t="shared" si="0"/>
        <v/>
      </c>
      <c r="L40" s="18" t="str">
        <f>IFERROR(IF(E40="supply",VLOOKUP(F40,'Stocks sheet'!#REF!,8,0),VLOOKUP(G40,'Stocks sheet'!$D$2:$L$98,9,0)),"")</f>
        <v/>
      </c>
      <c r="M40" s="8"/>
    </row>
    <row r="41" spans="1:13" ht="15" thickBot="1" x14ac:dyDescent="0.35">
      <c r="A41" s="20"/>
      <c r="B41" s="33"/>
      <c r="C41" s="10"/>
      <c r="D41" s="8"/>
      <c r="E41" s="8"/>
      <c r="F41" s="8"/>
      <c r="G41" s="8"/>
      <c r="H41" s="17" t="str">
        <f>IFERROR(IF(E41="supply",VLOOKUP(F41,'Stocks sheet'!$O$2:$W$100,2,0),VLOOKUP(G41,'Stocks sheet'!$D$2:$F$98,2,0)),"")</f>
        <v/>
      </c>
      <c r="I41" s="9"/>
      <c r="J41" s="8"/>
      <c r="K41" s="17" t="str">
        <f t="shared" si="0"/>
        <v/>
      </c>
      <c r="L41" s="18" t="str">
        <f>IFERROR(IF(E41="supply",VLOOKUP(F41,'Stocks sheet'!#REF!,8,0),VLOOKUP(G41,'Stocks sheet'!$D$2:$L$98,9,0)),"")</f>
        <v/>
      </c>
      <c r="M41" s="8"/>
    </row>
    <row r="42" spans="1:13" ht="15" thickBot="1" x14ac:dyDescent="0.35">
      <c r="A42" s="20"/>
      <c r="B42" s="33"/>
      <c r="C42" s="10"/>
      <c r="D42" s="8"/>
      <c r="E42" s="8"/>
      <c r="F42" s="8"/>
      <c r="G42" s="8"/>
      <c r="H42" s="17" t="str">
        <f>IFERROR(IF(E42="supply",VLOOKUP(F42,'Stocks sheet'!$O$2:$W$100,2,0),VLOOKUP(G42,'Stocks sheet'!$D$2:$F$98,2,0)),"")</f>
        <v/>
      </c>
      <c r="I42" s="9"/>
      <c r="J42" s="8"/>
      <c r="K42" s="17" t="str">
        <f t="shared" si="0"/>
        <v/>
      </c>
      <c r="L42" s="18" t="str">
        <f>IFERROR(IF(E42="supply",VLOOKUP(F42,'Stocks sheet'!#REF!,8,0),VLOOKUP(G42,'Stocks sheet'!$D$2:$L$98,9,0)),"")</f>
        <v/>
      </c>
      <c r="M42" s="8"/>
    </row>
    <row r="43" spans="1:13" ht="15" thickBot="1" x14ac:dyDescent="0.35">
      <c r="A43" s="20"/>
      <c r="B43" s="33"/>
      <c r="C43" s="10"/>
      <c r="D43" s="8"/>
      <c r="E43" s="8"/>
      <c r="F43" s="8"/>
      <c r="G43" s="8"/>
      <c r="H43" s="17" t="str">
        <f>IFERROR(IF(E43="supply",VLOOKUP(F43,'Stocks sheet'!$O$2:$W$100,2,0),VLOOKUP(G43,'Stocks sheet'!$D$2:$F$98,2,0)),"")</f>
        <v/>
      </c>
      <c r="I43" s="9"/>
      <c r="J43" s="8"/>
      <c r="K43" s="17" t="str">
        <f t="shared" si="0"/>
        <v/>
      </c>
      <c r="L43" s="18" t="str">
        <f>IFERROR(IF(E43="supply",VLOOKUP(F43,'Stocks sheet'!#REF!,8,0),VLOOKUP(G43,'Stocks sheet'!$D$2:$L$98,9,0)),"")</f>
        <v/>
      </c>
      <c r="M43" s="8"/>
    </row>
    <row r="44" spans="1:13" ht="15" thickBot="1" x14ac:dyDescent="0.35">
      <c r="A44" s="20"/>
      <c r="B44" s="33"/>
      <c r="C44" s="10"/>
      <c r="D44" s="8"/>
      <c r="E44" s="8"/>
      <c r="F44" s="8"/>
      <c r="G44" s="8"/>
      <c r="H44" s="17" t="str">
        <f>IFERROR(IF(E44="supply",VLOOKUP(F44,'Stocks sheet'!$O$2:$W$100,2,0),VLOOKUP(G44,'Stocks sheet'!$D$2:$F$98,2,0)),"")</f>
        <v/>
      </c>
      <c r="I44" s="9"/>
      <c r="J44" s="8"/>
      <c r="K44" s="17" t="str">
        <f t="shared" si="0"/>
        <v/>
      </c>
      <c r="L44" s="18" t="str">
        <f>IFERROR(IF(E44="supply",VLOOKUP(F44,'Stocks sheet'!#REF!,8,0),VLOOKUP(G44,'Stocks sheet'!$D$2:$L$98,9,0)),"")</f>
        <v/>
      </c>
      <c r="M44" s="8"/>
    </row>
    <row r="45" spans="1:13" ht="15" thickBot="1" x14ac:dyDescent="0.35">
      <c r="A45" s="20"/>
      <c r="B45" s="33"/>
      <c r="C45" s="10"/>
      <c r="D45" s="8"/>
      <c r="E45" s="8"/>
      <c r="F45" s="8"/>
      <c r="G45" s="8"/>
      <c r="H45" s="17" t="str">
        <f>IFERROR(IF(E45="supply",VLOOKUP(F45,'Stocks sheet'!$O$2:$W$100,2,0),VLOOKUP(G45,'Stocks sheet'!$D$2:$F$98,2,0)),"")</f>
        <v/>
      </c>
      <c r="I45" s="9"/>
      <c r="J45" s="8"/>
      <c r="K45" s="17" t="str">
        <f t="shared" si="0"/>
        <v/>
      </c>
      <c r="L45" s="18" t="str">
        <f>IFERROR(IF(E45="supply",VLOOKUP(F45,'Stocks sheet'!#REF!,8,0),VLOOKUP(G45,'Stocks sheet'!$D$2:$L$98,9,0)),"")</f>
        <v/>
      </c>
      <c r="M45" s="8"/>
    </row>
    <row r="46" spans="1:13" ht="15" thickBot="1" x14ac:dyDescent="0.35">
      <c r="A46" s="20"/>
      <c r="B46" s="33"/>
      <c r="C46" s="10"/>
      <c r="D46" s="8"/>
      <c r="E46" s="8"/>
      <c r="F46" s="8"/>
      <c r="G46" s="8"/>
      <c r="H46" s="17" t="str">
        <f>IFERROR(IF(E46="supply",VLOOKUP(F46,'Stocks sheet'!$O$2:$W$100,2,0),VLOOKUP(G46,'Stocks sheet'!$D$2:$F$98,2,0)),"")</f>
        <v/>
      </c>
      <c r="I46" s="9"/>
      <c r="J46" s="8"/>
      <c r="K46" s="17" t="str">
        <f t="shared" si="0"/>
        <v/>
      </c>
      <c r="L46" s="18" t="str">
        <f>IFERROR(IF(E46="supply",VLOOKUP(F46,'Stocks sheet'!#REF!,8,0),VLOOKUP(G46,'Stocks sheet'!$D$2:$L$98,9,0)),"")</f>
        <v/>
      </c>
      <c r="M46" s="8"/>
    </row>
    <row r="47" spans="1:13" ht="15" thickBot="1" x14ac:dyDescent="0.35">
      <c r="A47" s="20"/>
      <c r="B47" s="33"/>
      <c r="C47" s="10"/>
      <c r="D47" s="8"/>
      <c r="E47" s="8"/>
      <c r="F47" s="8"/>
      <c r="G47" s="8"/>
      <c r="H47" s="17" t="str">
        <f>IFERROR(IF(E47="supply",VLOOKUP(F47,'Stocks sheet'!$O$2:$W$100,2,0),VLOOKUP(G47,'Stocks sheet'!$D$2:$F$98,2,0)),"")</f>
        <v/>
      </c>
      <c r="I47" s="9"/>
      <c r="J47" s="8"/>
      <c r="K47" s="17" t="str">
        <f t="shared" si="0"/>
        <v/>
      </c>
      <c r="L47" s="18" t="str">
        <f>IFERROR(IF(E47="supply",VLOOKUP(F47,'Stocks sheet'!#REF!,8,0),VLOOKUP(G47,'Stocks sheet'!$D$2:$L$98,9,0)),"")</f>
        <v/>
      </c>
      <c r="M47" s="8"/>
    </row>
    <row r="48" spans="1:13" ht="15" thickBot="1" x14ac:dyDescent="0.35">
      <c r="A48" s="20"/>
      <c r="B48" s="33"/>
      <c r="C48" s="10"/>
      <c r="D48" s="8"/>
      <c r="E48" s="8"/>
      <c r="F48" s="8"/>
      <c r="G48" s="8"/>
      <c r="H48" s="17" t="str">
        <f>IFERROR(IF(E48="supply",VLOOKUP(F48,'Stocks sheet'!$O$2:$W$100,2,0),VLOOKUP(G48,'Stocks sheet'!$D$2:$F$98,2,0)),"")</f>
        <v/>
      </c>
      <c r="I48" s="9"/>
      <c r="J48" s="8"/>
      <c r="K48" s="17" t="str">
        <f t="shared" si="0"/>
        <v/>
      </c>
      <c r="L48" s="18" t="str">
        <f>IFERROR(IF(E48="supply",VLOOKUP(F48,'Stocks sheet'!#REF!,8,0),VLOOKUP(G48,'Stocks sheet'!$D$2:$L$98,9,0)),"")</f>
        <v/>
      </c>
      <c r="M48" s="8"/>
    </row>
    <row r="49" spans="1:13" ht="15" thickBot="1" x14ac:dyDescent="0.35">
      <c r="A49" s="20"/>
      <c r="B49" s="33"/>
      <c r="C49" s="10"/>
      <c r="D49" s="8"/>
      <c r="E49" s="8"/>
      <c r="F49" s="8"/>
      <c r="G49" s="8"/>
      <c r="H49" s="17" t="str">
        <f>IFERROR(IF(E49="supply",VLOOKUP(F49,'Stocks sheet'!$O$2:$W$100,2,0),VLOOKUP(G49,'Stocks sheet'!$D$2:$F$98,2,0)),"")</f>
        <v/>
      </c>
      <c r="I49" s="9"/>
      <c r="J49" s="8"/>
      <c r="K49" s="17" t="str">
        <f t="shared" si="0"/>
        <v/>
      </c>
      <c r="L49" s="18" t="str">
        <f>IFERROR(IF(E49="supply",VLOOKUP(F49,'Stocks sheet'!#REF!,8,0),VLOOKUP(G49,'Stocks sheet'!$D$2:$L$98,9,0)),"")</f>
        <v/>
      </c>
      <c r="M49" s="8"/>
    </row>
    <row r="50" spans="1:13" ht="15" thickBot="1" x14ac:dyDescent="0.35">
      <c r="A50" s="20"/>
      <c r="B50" s="33"/>
      <c r="C50" s="10"/>
      <c r="D50" s="8"/>
      <c r="E50" s="8"/>
      <c r="F50" s="8"/>
      <c r="G50" s="8"/>
      <c r="H50" s="17" t="str">
        <f>IFERROR(IF(E50="supply",VLOOKUP(F50,'Stocks sheet'!$O$2:$W$100,2,0),VLOOKUP(G50,'Stocks sheet'!$D$2:$F$98,2,0)),"")</f>
        <v/>
      </c>
      <c r="I50" s="9"/>
      <c r="J50" s="8"/>
      <c r="K50" s="17" t="str">
        <f t="shared" si="0"/>
        <v/>
      </c>
      <c r="L50" s="18" t="str">
        <f>IFERROR(IF(E50="supply",VLOOKUP(F50,'Stocks sheet'!#REF!,8,0),VLOOKUP(G50,'Stocks sheet'!$D$2:$L$98,9,0)),"")</f>
        <v/>
      </c>
      <c r="M50" s="8"/>
    </row>
    <row r="51" spans="1:13" ht="15" thickBot="1" x14ac:dyDescent="0.35">
      <c r="A51" s="20"/>
      <c r="B51" s="33"/>
      <c r="C51" s="10"/>
      <c r="D51" s="8"/>
      <c r="E51" s="8"/>
      <c r="F51" s="8"/>
      <c r="G51" s="8"/>
      <c r="H51" s="17" t="str">
        <f>IFERROR(IF(E51="supply",VLOOKUP(F51,'Stocks sheet'!$O$2:$W$100,2,0),VLOOKUP(G51,'Stocks sheet'!$D$2:$F$98,2,0)),"")</f>
        <v/>
      </c>
      <c r="I51" s="9"/>
      <c r="J51" s="8"/>
      <c r="K51" s="17" t="str">
        <f t="shared" si="0"/>
        <v/>
      </c>
      <c r="L51" s="18" t="str">
        <f>IFERROR(IF(E51="supply",VLOOKUP(F51,'Stocks sheet'!#REF!,8,0),VLOOKUP(G51,'Stocks sheet'!$D$2:$L$98,9,0)),"")</f>
        <v/>
      </c>
      <c r="M51" s="8"/>
    </row>
    <row r="52" spans="1:13" ht="15" thickBot="1" x14ac:dyDescent="0.35">
      <c r="A52" s="20"/>
      <c r="B52" s="33"/>
      <c r="C52" s="10"/>
      <c r="D52" s="8"/>
      <c r="E52" s="8"/>
      <c r="F52" s="8"/>
      <c r="G52" s="8"/>
      <c r="H52" s="17" t="str">
        <f>IFERROR(IF(E52="supply",VLOOKUP(F52,'Stocks sheet'!$O$2:$W$100,2,0),VLOOKUP(G52,'Stocks sheet'!$D$2:$F$98,2,0)),"")</f>
        <v/>
      </c>
      <c r="I52" s="9"/>
      <c r="J52" s="8"/>
      <c r="K52" s="17" t="str">
        <f t="shared" si="0"/>
        <v/>
      </c>
      <c r="L52" s="18" t="str">
        <f>IFERROR(IF(E52="supply",VLOOKUP(F52,'Stocks sheet'!O35:W133,8,0),VLOOKUP(G52,'Stocks sheet'!$D$2:$L$98,9,0)),"")</f>
        <v/>
      </c>
      <c r="M52" s="8"/>
    </row>
    <row r="53" spans="1:13" ht="15" thickBot="1" x14ac:dyDescent="0.35">
      <c r="A53" s="20"/>
      <c r="B53" s="33"/>
      <c r="C53" s="10"/>
      <c r="D53" s="8"/>
      <c r="E53" s="8"/>
      <c r="F53" s="8"/>
      <c r="G53" s="8"/>
      <c r="H53" s="17" t="str">
        <f>IFERROR(IF(E53="supply",VLOOKUP(F53,'Stocks sheet'!$O$2:$W$100,2,0),VLOOKUP(G53,'Stocks sheet'!$D$2:$F$98,2,0)),"")</f>
        <v/>
      </c>
      <c r="I53" s="9"/>
      <c r="J53" s="8"/>
      <c r="K53" s="17" t="str">
        <f t="shared" si="0"/>
        <v/>
      </c>
      <c r="L53" s="18" t="str">
        <f>IFERROR(IF(E53="supply",VLOOKUP(F53,'Stocks sheet'!O36:W134,8,0),VLOOKUP(G53,'Stocks sheet'!$D$2:$L$98,9,0)),"")</f>
        <v/>
      </c>
      <c r="M53" s="8"/>
    </row>
    <row r="54" spans="1:13" ht="15" thickBot="1" x14ac:dyDescent="0.35">
      <c r="A54" s="20"/>
      <c r="B54" s="33"/>
      <c r="C54" s="10"/>
      <c r="D54" s="8"/>
      <c r="E54" s="8"/>
      <c r="F54" s="8"/>
      <c r="G54" s="8"/>
      <c r="H54" s="17" t="str">
        <f>IFERROR(IF(E54="supply",VLOOKUP(F54,'Stocks sheet'!$O$2:$W$100,2,0),VLOOKUP(G54,'Stocks sheet'!$D$2:$F$98,2,0)),"")</f>
        <v/>
      </c>
      <c r="I54" s="9"/>
      <c r="J54" s="8"/>
      <c r="K54" s="17" t="str">
        <f t="shared" si="0"/>
        <v/>
      </c>
      <c r="L54" s="18" t="str">
        <f>IFERROR(IF(E54="supply",VLOOKUP(F54,'Stocks sheet'!#REF!,8,0),VLOOKUP(G54,'Stocks sheet'!$D$2:$L$98,9,0)),"")</f>
        <v/>
      </c>
      <c r="M54" s="8"/>
    </row>
    <row r="55" spans="1:13" ht="15" thickBot="1" x14ac:dyDescent="0.35">
      <c r="A55" s="20"/>
      <c r="B55" s="33"/>
      <c r="C55" s="10"/>
      <c r="D55" s="8"/>
      <c r="E55" s="8"/>
      <c r="F55" s="8"/>
      <c r="G55" s="8"/>
      <c r="H55" s="17" t="str">
        <f>IFERROR(IF(E55="supply",VLOOKUP(F55,'Stocks sheet'!$O$2:$W$100,2,0),VLOOKUP(G55,'Stocks sheet'!$D$2:$F$98,2,0)),"")</f>
        <v/>
      </c>
      <c r="I55" s="9"/>
      <c r="J55" s="8"/>
      <c r="K55" s="17" t="str">
        <f t="shared" si="0"/>
        <v/>
      </c>
      <c r="L55" s="18" t="str">
        <f>IFERROR(IF(E55="supply",VLOOKUP(F55,'Stocks sheet'!#REF!,8,0),VLOOKUP(G55,'Stocks sheet'!$D$2:$L$98,9,0)),"")</f>
        <v/>
      </c>
      <c r="M55" s="8"/>
    </row>
    <row r="56" spans="1:13" ht="15" thickBot="1" x14ac:dyDescent="0.35">
      <c r="A56" s="20"/>
      <c r="B56" s="33"/>
      <c r="C56" s="10"/>
      <c r="D56" s="8"/>
      <c r="E56" s="8"/>
      <c r="F56" s="8"/>
      <c r="G56" s="8"/>
      <c r="H56" s="17" t="str">
        <f>IFERROR(IF(E56="supply",VLOOKUP(F56,'Stocks sheet'!$O$2:$W$100,2,0),VLOOKUP(G56,'Stocks sheet'!$D$2:$F$98,2,0)),"")</f>
        <v/>
      </c>
      <c r="I56" s="9"/>
      <c r="J56" s="8"/>
      <c r="K56" s="17" t="str">
        <f t="shared" si="0"/>
        <v/>
      </c>
      <c r="L56" s="18" t="str">
        <f>IFERROR(IF(E56="supply",VLOOKUP(F56,'Stocks sheet'!#REF!,8,0),VLOOKUP(G56,'Stocks sheet'!$D$2:$L$98,9,0)),"")</f>
        <v/>
      </c>
      <c r="M56" s="8"/>
    </row>
    <row r="57" spans="1:13" ht="15" thickBot="1" x14ac:dyDescent="0.35">
      <c r="A57" s="20"/>
      <c r="B57" s="33"/>
      <c r="C57" s="10"/>
      <c r="D57" s="8"/>
      <c r="E57" s="8"/>
      <c r="F57" s="8"/>
      <c r="G57" s="8"/>
      <c r="H57" s="17" t="str">
        <f>IFERROR(IF(E57="supply",VLOOKUP(F57,'Stocks sheet'!$O$2:$W$100,2,0),VLOOKUP(G57,'Stocks sheet'!$D$2:$F$98,2,0)),"")</f>
        <v/>
      </c>
      <c r="I57" s="9"/>
      <c r="J57" s="8"/>
      <c r="K57" s="17" t="str">
        <f t="shared" si="0"/>
        <v/>
      </c>
      <c r="L57" s="18" t="str">
        <f>IFERROR(IF(E57="supply",VLOOKUP(F57,'Stocks sheet'!#REF!,8,0),VLOOKUP(G57,'Stocks sheet'!$D$2:$L$98,9,0)),"")</f>
        <v/>
      </c>
      <c r="M57" s="8"/>
    </row>
    <row r="58" spans="1:13" ht="15" thickBot="1" x14ac:dyDescent="0.35">
      <c r="A58" s="20"/>
      <c r="B58" s="33"/>
      <c r="C58" s="10"/>
      <c r="D58" s="8"/>
      <c r="E58" s="8"/>
      <c r="F58" s="8"/>
      <c r="G58" s="8"/>
      <c r="H58" s="17" t="str">
        <f>IFERROR(IF(E58="supply",VLOOKUP(F58,'Stocks sheet'!$O$2:$W$100,2,0),VLOOKUP(G58,'Stocks sheet'!$D$2:$F$98,2,0)),"")</f>
        <v/>
      </c>
      <c r="I58" s="9"/>
      <c r="J58" s="8"/>
      <c r="K58" s="17" t="str">
        <f t="shared" si="0"/>
        <v/>
      </c>
      <c r="L58" s="18" t="str">
        <f>IFERROR(IF(E58="supply",VLOOKUP(F58,'Stocks sheet'!#REF!,8,0),VLOOKUP(G58,'Stocks sheet'!$D$2:$L$98,9,0)),"")</f>
        <v/>
      </c>
      <c r="M58" s="8"/>
    </row>
    <row r="59" spans="1:13" ht="15" thickBot="1" x14ac:dyDescent="0.35">
      <c r="A59" s="20"/>
      <c r="B59" s="33"/>
      <c r="C59" s="10"/>
      <c r="D59" s="8"/>
      <c r="E59" s="8"/>
      <c r="F59" s="8"/>
      <c r="G59" s="8"/>
      <c r="H59" s="17" t="str">
        <f>IFERROR(IF(E59="supply",VLOOKUP(F59,'Stocks sheet'!$O$2:$W$100,2,0),VLOOKUP(G59,'Stocks sheet'!$D$2:$F$98,2,0)),"")</f>
        <v/>
      </c>
      <c r="I59" s="9"/>
      <c r="J59" s="8"/>
      <c r="K59" s="17" t="str">
        <f t="shared" si="0"/>
        <v/>
      </c>
      <c r="L59" s="18" t="str">
        <f>IFERROR(IF(E59="supply",VLOOKUP(F59,'Stocks sheet'!#REF!,8,0),VLOOKUP(G59,'Stocks sheet'!$D$2:$L$98,9,0)),"")</f>
        <v/>
      </c>
      <c r="M59" s="8"/>
    </row>
    <row r="60" spans="1:13" ht="15" thickBot="1" x14ac:dyDescent="0.35">
      <c r="A60" s="20"/>
      <c r="B60" s="33"/>
      <c r="C60" s="10"/>
      <c r="D60" s="8"/>
      <c r="E60" s="8"/>
      <c r="F60" s="8"/>
      <c r="G60" s="8"/>
      <c r="H60" s="17" t="str">
        <f>IFERROR(IF(E60="supply",VLOOKUP(F60,'Stocks sheet'!$O$2:$W$100,2,0),VLOOKUP(G60,'Stocks sheet'!$D$2:$F$98,2,0)),"")</f>
        <v/>
      </c>
      <c r="I60" s="9"/>
      <c r="J60" s="8"/>
      <c r="K60" s="17" t="str">
        <f t="shared" si="0"/>
        <v/>
      </c>
      <c r="L60" s="18" t="str">
        <f>IFERROR(IF(E60="supply",VLOOKUP(F60,'Stocks sheet'!#REF!,8,0),VLOOKUP(G60,'Stocks sheet'!$D$2:$L$98,9,0)),"")</f>
        <v/>
      </c>
      <c r="M60" s="8"/>
    </row>
    <row r="61" spans="1:13" ht="15" thickBot="1" x14ac:dyDescent="0.35">
      <c r="A61" s="20"/>
      <c r="B61" s="33"/>
      <c r="C61" s="10"/>
      <c r="D61" s="8"/>
      <c r="E61" s="8"/>
      <c r="F61" s="8"/>
      <c r="G61" s="8"/>
      <c r="H61" s="17" t="str">
        <f>IFERROR(IF(E61="supply",VLOOKUP(F61,'Stocks sheet'!$O$2:$W$100,2,0),VLOOKUP(G61,'Stocks sheet'!$D$2:$F$98,2,0)),"")</f>
        <v/>
      </c>
      <c r="I61" s="9"/>
      <c r="J61" s="8"/>
      <c r="K61" s="17" t="str">
        <f t="shared" si="0"/>
        <v/>
      </c>
      <c r="L61" s="18" t="str">
        <f>IFERROR(IF(E61="supply",VLOOKUP(F61,'Stocks sheet'!#REF!,8,0),VLOOKUP(G61,'Stocks sheet'!$D$2:$L$98,9,0)),"")</f>
        <v/>
      </c>
      <c r="M61" s="8"/>
    </row>
    <row r="62" spans="1:13" ht="15" thickBot="1" x14ac:dyDescent="0.35">
      <c r="A62" s="20"/>
      <c r="B62" s="33"/>
      <c r="C62" s="10"/>
      <c r="D62" s="8"/>
      <c r="E62" s="8"/>
      <c r="F62" s="8"/>
      <c r="G62" s="8"/>
      <c r="H62" s="17" t="str">
        <f>IFERROR(IF(E62="supply",VLOOKUP(F62,'Stocks sheet'!$O$2:$W$100,2,0),VLOOKUP(G62,'Stocks sheet'!$D$2:$F$98,2,0)),"")</f>
        <v/>
      </c>
      <c r="I62" s="9"/>
      <c r="J62" s="8"/>
      <c r="K62" s="17" t="str">
        <f t="shared" si="0"/>
        <v/>
      </c>
      <c r="L62" s="18" t="str">
        <f>IFERROR(IF(E62="supply",VLOOKUP(F62,'Stocks sheet'!#REF!,8,0),VLOOKUP(G62,'Stocks sheet'!$D$2:$L$98,9,0)),"")</f>
        <v/>
      </c>
      <c r="M62" s="8"/>
    </row>
    <row r="63" spans="1:13" ht="15" thickBot="1" x14ac:dyDescent="0.35">
      <c r="A63" s="20"/>
      <c r="B63" s="33"/>
      <c r="C63" s="10"/>
      <c r="D63" s="8"/>
      <c r="E63" s="8"/>
      <c r="F63" s="8"/>
      <c r="G63" s="8"/>
      <c r="H63" s="17" t="str">
        <f>IFERROR(IF(E63="supply",VLOOKUP(F63,'Stocks sheet'!$O$2:$W$100,2,0),VLOOKUP(G63,'Stocks sheet'!$D$2:$F$98,2,0)),"")</f>
        <v/>
      </c>
      <c r="I63" s="9"/>
      <c r="J63" s="8"/>
      <c r="K63" s="17" t="str">
        <f t="shared" si="0"/>
        <v/>
      </c>
      <c r="L63" s="18" t="str">
        <f>IFERROR(IF(E63="supply",VLOOKUP(F63,'Stocks sheet'!#REF!,8,0),VLOOKUP(G63,'Stocks sheet'!$D$2:$L$98,9,0)),"")</f>
        <v/>
      </c>
      <c r="M63" s="8"/>
    </row>
    <row r="64" spans="1:13" ht="15" thickBot="1" x14ac:dyDescent="0.35">
      <c r="A64" s="20"/>
      <c r="B64" s="33"/>
      <c r="C64" s="10"/>
      <c r="D64" s="8"/>
      <c r="E64" s="8"/>
      <c r="F64" s="8"/>
      <c r="G64" s="8"/>
      <c r="H64" s="17" t="str">
        <f>IFERROR(IF(E64="supply",VLOOKUP(F64,'Stocks sheet'!$O$2:$W$100,2,0),VLOOKUP(G64,'Stocks sheet'!$D$2:$F$98,2,0)),"")</f>
        <v/>
      </c>
      <c r="I64" s="9"/>
      <c r="J64" s="8"/>
      <c r="K64" s="17" t="str">
        <f t="shared" si="0"/>
        <v/>
      </c>
      <c r="L64" s="18" t="str">
        <f>IFERROR(IF(E64="supply",VLOOKUP(F64,'Stocks sheet'!#REF!,8,0),VLOOKUP(G64,'Stocks sheet'!$D$2:$L$98,9,0)),"")</f>
        <v/>
      </c>
      <c r="M64" s="8"/>
    </row>
    <row r="65" spans="1:13" ht="15" thickBot="1" x14ac:dyDescent="0.35">
      <c r="A65" s="20"/>
      <c r="B65" s="33"/>
      <c r="C65" s="10"/>
      <c r="D65" s="8"/>
      <c r="E65" s="8"/>
      <c r="F65" s="8"/>
      <c r="G65" s="8"/>
      <c r="H65" s="17" t="str">
        <f>IFERROR(IF(E65="supply",VLOOKUP(F65,'Stocks sheet'!$O$2:$W$100,2,0),VLOOKUP(G65,'Stocks sheet'!$D$2:$F$98,2,0)),"")</f>
        <v/>
      </c>
      <c r="I65" s="9"/>
      <c r="J65" s="8"/>
      <c r="K65" s="17" t="str">
        <f t="shared" si="0"/>
        <v/>
      </c>
      <c r="L65" s="18" t="str">
        <f>IFERROR(IF(E65="supply",VLOOKUP(F65,'Stocks sheet'!#REF!,8,0),VLOOKUP(G65,'Stocks sheet'!$D$2:$L$98,9,0)),"")</f>
        <v/>
      </c>
      <c r="M65" s="8"/>
    </row>
    <row r="66" spans="1:13" ht="15" thickBot="1" x14ac:dyDescent="0.35">
      <c r="A66" s="20"/>
      <c r="B66" s="33"/>
      <c r="C66" s="10"/>
      <c r="D66" s="8"/>
      <c r="E66" s="8"/>
      <c r="F66" s="8"/>
      <c r="G66" s="8"/>
      <c r="H66" s="17" t="str">
        <f>IFERROR(IF(E66="supply",VLOOKUP(F66,'Stocks sheet'!$O$2:$W$100,2,0),VLOOKUP(G66,'Stocks sheet'!$D$2:$F$98,2,0)),"")</f>
        <v/>
      </c>
      <c r="I66" s="9"/>
      <c r="J66" s="8"/>
      <c r="K66" s="17" t="str">
        <f t="shared" si="0"/>
        <v/>
      </c>
      <c r="L66" s="18" t="str">
        <f>IFERROR(IF(E66="supply",VLOOKUP(F66,'Stocks sheet'!#REF!,8,0),VLOOKUP(G66,'Stocks sheet'!$D$2:$L$98,9,0)),"")</f>
        <v/>
      </c>
      <c r="M66" s="8"/>
    </row>
    <row r="67" spans="1:13" ht="15" thickBot="1" x14ac:dyDescent="0.35">
      <c r="A67" s="20"/>
      <c r="B67" s="33"/>
      <c r="C67" s="10"/>
      <c r="D67" s="8"/>
      <c r="E67" s="8"/>
      <c r="F67" s="8"/>
      <c r="G67" s="8"/>
      <c r="H67" s="17" t="str">
        <f>IFERROR(IF(E67="supply",VLOOKUP(F67,'Stocks sheet'!$O$2:$W$100,2,0),VLOOKUP(G67,'Stocks sheet'!$D$2:$F$98,2,0)),"")</f>
        <v/>
      </c>
      <c r="I67" s="9"/>
      <c r="J67" s="8"/>
      <c r="K67" s="17" t="str">
        <f t="shared" si="0"/>
        <v/>
      </c>
      <c r="L67" s="18" t="str">
        <f>IFERROR(IF(E67="supply",VLOOKUP(F67,'Stocks sheet'!#REF!,8,0),VLOOKUP(G67,'Stocks sheet'!$D$2:$L$98,9,0)),"")</f>
        <v/>
      </c>
      <c r="M67" s="8"/>
    </row>
    <row r="68" spans="1:13" ht="15" thickBot="1" x14ac:dyDescent="0.35">
      <c r="A68" s="20"/>
      <c r="B68" s="33"/>
      <c r="C68" s="10"/>
      <c r="D68" s="8"/>
      <c r="E68" s="8"/>
      <c r="F68" s="8"/>
      <c r="G68" s="8"/>
      <c r="H68" s="17" t="str">
        <f>IFERROR(IF(E68="supply",VLOOKUP(F68,'Stocks sheet'!$O$2:$W$100,2,0),VLOOKUP(G68,'Stocks sheet'!$D$2:$F$98,2,0)),"")</f>
        <v/>
      </c>
      <c r="I68" s="9"/>
      <c r="J68" s="8"/>
      <c r="K68" s="17" t="str">
        <f t="shared" ref="K68:K100" si="1">IFERROR(J68*H68+I68,"")</f>
        <v/>
      </c>
      <c r="L68" s="18" t="str">
        <f>IFERROR(IF(E68="supply",VLOOKUP(F68,'Stocks sheet'!#REF!,8,0),VLOOKUP(G68,'Stocks sheet'!$D$2:$L$98,9,0)),"")</f>
        <v/>
      </c>
      <c r="M68" s="8"/>
    </row>
    <row r="69" spans="1:13" ht="15" thickBot="1" x14ac:dyDescent="0.35">
      <c r="A69" s="20"/>
      <c r="B69" s="33"/>
      <c r="C69" s="10"/>
      <c r="D69" s="8"/>
      <c r="E69" s="8"/>
      <c r="F69" s="8"/>
      <c r="G69" s="8"/>
      <c r="H69" s="17" t="str">
        <f>IFERROR(IF(E69="supply",VLOOKUP(F69,'Stocks sheet'!$O$2:$W$100,2,0),VLOOKUP(G69,'Stocks sheet'!$D$2:$F$98,2,0)),"")</f>
        <v/>
      </c>
      <c r="I69" s="9"/>
      <c r="J69" s="8"/>
      <c r="K69" s="17" t="str">
        <f t="shared" si="1"/>
        <v/>
      </c>
      <c r="L69" s="18" t="str">
        <f>IFERROR(IF(E69="supply",VLOOKUP(F69,'Stocks sheet'!O52:W150,8,0),VLOOKUP(G69,'Stocks sheet'!$D$2:$L$98,9,0)),"")</f>
        <v/>
      </c>
      <c r="M69" s="8"/>
    </row>
    <row r="70" spans="1:13" ht="15" thickBot="1" x14ac:dyDescent="0.35">
      <c r="A70" s="20"/>
      <c r="B70" s="33"/>
      <c r="C70" s="10"/>
      <c r="D70" s="8"/>
      <c r="E70" s="8"/>
      <c r="F70" s="8"/>
      <c r="G70" s="8"/>
      <c r="H70" s="17" t="str">
        <f>IFERROR(IF(E70="supply",VLOOKUP(F70,'Stocks sheet'!$O$2:$W$100,2,0),VLOOKUP(G70,'Stocks sheet'!$D$2:$F$98,2,0)),"")</f>
        <v/>
      </c>
      <c r="I70" s="9"/>
      <c r="J70" s="8"/>
      <c r="K70" s="17" t="str">
        <f t="shared" si="1"/>
        <v/>
      </c>
      <c r="L70" s="18" t="str">
        <f>IFERROR(IF(E70="supply",VLOOKUP(F70,'Stocks sheet'!O53:W151,8,0),VLOOKUP(G70,'Stocks sheet'!$D$2:$L$98,9,0)),"")</f>
        <v/>
      </c>
      <c r="M70" s="8"/>
    </row>
    <row r="71" spans="1:13" ht="15" thickBot="1" x14ac:dyDescent="0.35">
      <c r="A71" s="20"/>
      <c r="B71" s="33"/>
      <c r="C71" s="10"/>
      <c r="D71" s="8"/>
      <c r="E71" s="8"/>
      <c r="F71" s="8"/>
      <c r="G71" s="8"/>
      <c r="H71" s="17" t="str">
        <f>IFERROR(IF(E71="supply",VLOOKUP(F71,'Stocks sheet'!$O$2:$W$100,2,0),VLOOKUP(G71,'Stocks sheet'!$D$2:$F$98,2,0)),"")</f>
        <v/>
      </c>
      <c r="I71" s="9"/>
      <c r="J71" s="8"/>
      <c r="K71" s="17" t="str">
        <f t="shared" si="1"/>
        <v/>
      </c>
      <c r="L71" s="18" t="str">
        <f>IFERROR(IF(E71="supply",VLOOKUP(F71,'Stocks sheet'!#REF!,8,0),VLOOKUP(G71,'Stocks sheet'!$D$2:$L$98,9,0)),"")</f>
        <v/>
      </c>
      <c r="M71" s="8"/>
    </row>
    <row r="72" spans="1:13" ht="15" thickBot="1" x14ac:dyDescent="0.35">
      <c r="A72" s="20"/>
      <c r="B72" s="33"/>
      <c r="C72" s="10"/>
      <c r="D72" s="8"/>
      <c r="E72" s="8"/>
      <c r="F72" s="8"/>
      <c r="G72" s="8"/>
      <c r="H72" s="17" t="str">
        <f>IFERROR(IF(E72="supply",VLOOKUP(F72,'Stocks sheet'!$O$2:$W$100,2,0),VLOOKUP(G72,'Stocks sheet'!$D$2:$F$98,2,0)),"")</f>
        <v/>
      </c>
      <c r="I72" s="9"/>
      <c r="J72" s="8"/>
      <c r="K72" s="17" t="str">
        <f t="shared" si="1"/>
        <v/>
      </c>
      <c r="L72" s="18" t="str">
        <f>IFERROR(IF(E72="supply",VLOOKUP(F72,'Stocks sheet'!#REF!,8,0),VLOOKUP(G72,'Stocks sheet'!$D$2:$L$98,9,0)),"")</f>
        <v/>
      </c>
      <c r="M72" s="8"/>
    </row>
    <row r="73" spans="1:13" ht="15" thickBot="1" x14ac:dyDescent="0.35">
      <c r="A73" s="20"/>
      <c r="B73" s="33"/>
      <c r="C73" s="10"/>
      <c r="D73" s="8"/>
      <c r="E73" s="8"/>
      <c r="F73" s="8"/>
      <c r="G73" s="8"/>
      <c r="H73" s="17" t="str">
        <f>IFERROR(IF(E73="supply",VLOOKUP(F73,'Stocks sheet'!$O$2:$W$100,2,0),VLOOKUP(G73,'Stocks sheet'!$D$2:$F$98,2,0)),"")</f>
        <v/>
      </c>
      <c r="I73" s="9"/>
      <c r="J73" s="8"/>
      <c r="K73" s="17" t="str">
        <f t="shared" si="1"/>
        <v/>
      </c>
      <c r="L73" s="18" t="str">
        <f>IFERROR(IF(E73="supply",VLOOKUP(F73,'Stocks sheet'!#REF!,8,0),VLOOKUP(G73,'Stocks sheet'!$D$2:$L$98,9,0)),"")</f>
        <v/>
      </c>
      <c r="M73" s="8"/>
    </row>
    <row r="74" spans="1:13" ht="15" thickBot="1" x14ac:dyDescent="0.35">
      <c r="A74" s="20"/>
      <c r="B74" s="33"/>
      <c r="C74" s="10"/>
      <c r="D74" s="8"/>
      <c r="E74" s="8"/>
      <c r="F74" s="8"/>
      <c r="G74" s="8"/>
      <c r="H74" s="17" t="str">
        <f>IFERROR(IF(E74="supply",VLOOKUP(F74,'Stocks sheet'!$O$2:$W$100,2,0),VLOOKUP(G74,'Stocks sheet'!$D$2:$F$98,2,0)),"")</f>
        <v/>
      </c>
      <c r="I74" s="9"/>
      <c r="J74" s="8"/>
      <c r="K74" s="17" t="str">
        <f t="shared" si="1"/>
        <v/>
      </c>
      <c r="L74" s="18" t="str">
        <f>IFERROR(IF(E74="supply",VLOOKUP(F74,'Stocks sheet'!#REF!,8,0),VLOOKUP(G74,'Stocks sheet'!$D$2:$L$98,9,0)),"")</f>
        <v/>
      </c>
      <c r="M74" s="8"/>
    </row>
    <row r="75" spans="1:13" ht="15" thickBot="1" x14ac:dyDescent="0.35">
      <c r="A75" s="20"/>
      <c r="B75" s="33"/>
      <c r="C75" s="10"/>
      <c r="D75" s="8"/>
      <c r="E75" s="8"/>
      <c r="F75" s="8"/>
      <c r="G75" s="8"/>
      <c r="H75" s="17" t="str">
        <f>IFERROR(IF(E75="supply",VLOOKUP(F75,'Stocks sheet'!$O$2:$W$100,2,0),VLOOKUP(G75,'Stocks sheet'!$D$2:$F$98,2,0)),"")</f>
        <v/>
      </c>
      <c r="I75" s="9"/>
      <c r="J75" s="8"/>
      <c r="K75" s="17" t="str">
        <f t="shared" si="1"/>
        <v/>
      </c>
      <c r="L75" s="18" t="str">
        <f>IFERROR(IF(E75="supply",VLOOKUP(F75,'Stocks sheet'!#REF!,8,0),VLOOKUP(G75,'Stocks sheet'!$D$2:$L$98,9,0)),"")</f>
        <v/>
      </c>
      <c r="M75" s="8"/>
    </row>
    <row r="76" spans="1:13" ht="15" thickBot="1" x14ac:dyDescent="0.35">
      <c r="A76" s="20"/>
      <c r="B76" s="33"/>
      <c r="C76" s="10"/>
      <c r="D76" s="8"/>
      <c r="E76" s="8"/>
      <c r="F76" s="8"/>
      <c r="G76" s="8"/>
      <c r="H76" s="17" t="str">
        <f>IFERROR(IF(E76="supply",VLOOKUP(F76,'Stocks sheet'!$O$2:$W$100,2,0),VLOOKUP(G76,'Stocks sheet'!$D$2:$F$98,2,0)),"")</f>
        <v/>
      </c>
      <c r="I76" s="9"/>
      <c r="J76" s="8"/>
      <c r="K76" s="17" t="str">
        <f t="shared" si="1"/>
        <v/>
      </c>
      <c r="L76" s="18" t="str">
        <f>IFERROR(IF(E76="supply",VLOOKUP(F76,'Stocks sheet'!#REF!,8,0),VLOOKUP(G76,'Stocks sheet'!$D$2:$L$98,9,0)),"")</f>
        <v/>
      </c>
      <c r="M76" s="8"/>
    </row>
    <row r="77" spans="1:13" ht="15" thickBot="1" x14ac:dyDescent="0.35">
      <c r="A77" s="20"/>
      <c r="B77" s="33"/>
      <c r="C77" s="10"/>
      <c r="D77" s="8"/>
      <c r="E77" s="8"/>
      <c r="F77" s="8"/>
      <c r="G77" s="8"/>
      <c r="H77" s="17" t="str">
        <f>IFERROR(IF(E77="supply",VLOOKUP(F77,'Stocks sheet'!$O$2:$W$100,2,0),VLOOKUP(G77,'Stocks sheet'!$D$2:$F$98,2,0)),"")</f>
        <v/>
      </c>
      <c r="I77" s="9"/>
      <c r="J77" s="8"/>
      <c r="K77" s="17" t="str">
        <f t="shared" si="1"/>
        <v/>
      </c>
      <c r="L77" s="18" t="str">
        <f>IFERROR(IF(E77="supply",VLOOKUP(F77,'Stocks sheet'!#REF!,8,0),VLOOKUP(G77,'Stocks sheet'!$D$2:$L$98,9,0)),"")</f>
        <v/>
      </c>
      <c r="M77" s="8"/>
    </row>
    <row r="78" spans="1:13" ht="15" thickBot="1" x14ac:dyDescent="0.35">
      <c r="A78" s="20"/>
      <c r="B78" s="33"/>
      <c r="C78" s="10"/>
      <c r="D78" s="8"/>
      <c r="E78" s="8"/>
      <c r="F78" s="8"/>
      <c r="G78" s="8"/>
      <c r="H78" s="17" t="str">
        <f>IFERROR(IF(E78="supply",VLOOKUP(F78,'Stocks sheet'!$O$2:$W$100,2,0),VLOOKUP(G78,'Stocks sheet'!$D$2:$F$98,2,0)),"")</f>
        <v/>
      </c>
      <c r="I78" s="9"/>
      <c r="J78" s="8"/>
      <c r="K78" s="17" t="str">
        <f t="shared" si="1"/>
        <v/>
      </c>
      <c r="L78" s="18" t="str">
        <f>IFERROR(IF(E78="supply",VLOOKUP(F78,'Stocks sheet'!#REF!,8,0),VLOOKUP(G78,'Stocks sheet'!$D$2:$L$98,9,0)),"")</f>
        <v/>
      </c>
      <c r="M78" s="8"/>
    </row>
    <row r="79" spans="1:13" ht="15" thickBot="1" x14ac:dyDescent="0.35">
      <c r="A79" s="20"/>
      <c r="B79" s="33"/>
      <c r="C79" s="10"/>
      <c r="D79" s="8"/>
      <c r="E79" s="8"/>
      <c r="F79" s="8"/>
      <c r="G79" s="8"/>
      <c r="H79" s="17" t="str">
        <f>IFERROR(IF(E79="supply",VLOOKUP(F79,'Stocks sheet'!$O$2:$W$100,2,0),VLOOKUP(G79,'Stocks sheet'!$D$2:$F$98,2,0)),"")</f>
        <v/>
      </c>
      <c r="I79" s="9"/>
      <c r="J79" s="8"/>
      <c r="K79" s="17" t="str">
        <f t="shared" si="1"/>
        <v/>
      </c>
      <c r="L79" s="18" t="str">
        <f>IFERROR(IF(E79="supply",VLOOKUP(F79,'Stocks sheet'!#REF!,8,0),VLOOKUP(G79,'Stocks sheet'!$D$2:$L$98,9,0)),"")</f>
        <v/>
      </c>
      <c r="M79" s="8"/>
    </row>
    <row r="80" spans="1:13" ht="15" thickBot="1" x14ac:dyDescent="0.35">
      <c r="A80" s="20"/>
      <c r="B80" s="33"/>
      <c r="C80" s="10"/>
      <c r="D80" s="8"/>
      <c r="E80" s="8"/>
      <c r="F80" s="8"/>
      <c r="G80" s="8"/>
      <c r="H80" s="17" t="str">
        <f>IFERROR(IF(E80="supply",VLOOKUP(F80,'Stocks sheet'!$O$2:$W$100,2,0),VLOOKUP(G80,'Stocks sheet'!$D$2:$F$98,2,0)),"")</f>
        <v/>
      </c>
      <c r="I80" s="9"/>
      <c r="J80" s="8"/>
      <c r="K80" s="17" t="str">
        <f t="shared" si="1"/>
        <v/>
      </c>
      <c r="L80" s="18" t="str">
        <f>IFERROR(IF(E80="supply",VLOOKUP(F80,'Stocks sheet'!#REF!,8,0),VLOOKUP(G80,'Stocks sheet'!$D$2:$L$98,9,0)),"")</f>
        <v/>
      </c>
      <c r="M80" s="8"/>
    </row>
    <row r="81" spans="1:13" ht="15" thickBot="1" x14ac:dyDescent="0.35">
      <c r="A81" s="20"/>
      <c r="B81" s="33"/>
      <c r="C81" s="10"/>
      <c r="D81" s="8"/>
      <c r="E81" s="8"/>
      <c r="F81" s="8"/>
      <c r="G81" s="8"/>
      <c r="H81" s="17" t="str">
        <f>IFERROR(IF(E81="supply",VLOOKUP(F81,'Stocks sheet'!$O$2:$W$100,2,0),VLOOKUP(G81,'Stocks sheet'!$D$2:$F$98,2,0)),"")</f>
        <v/>
      </c>
      <c r="I81" s="9"/>
      <c r="J81" s="8"/>
      <c r="K81" s="17" t="str">
        <f t="shared" si="1"/>
        <v/>
      </c>
      <c r="L81" s="18" t="str">
        <f>IFERROR(IF(E81="supply",VLOOKUP(F81,'Stocks sheet'!#REF!,8,0),VLOOKUP(G81,'Stocks sheet'!$D$2:$L$98,9,0)),"")</f>
        <v/>
      </c>
      <c r="M81" s="8"/>
    </row>
    <row r="82" spans="1:13" ht="15" thickBot="1" x14ac:dyDescent="0.35">
      <c r="A82" s="20"/>
      <c r="B82" s="33"/>
      <c r="C82" s="10"/>
      <c r="D82" s="8"/>
      <c r="E82" s="8"/>
      <c r="F82" s="8"/>
      <c r="G82" s="8"/>
      <c r="H82" s="17" t="str">
        <f>IFERROR(IF(E82="supply",VLOOKUP(F82,'Stocks sheet'!$O$2:$W$100,2,0),VLOOKUP(G82,'Stocks sheet'!$D$2:$F$98,2,0)),"")</f>
        <v/>
      </c>
      <c r="I82" s="9"/>
      <c r="J82" s="8"/>
      <c r="K82" s="17" t="str">
        <f t="shared" si="1"/>
        <v/>
      </c>
      <c r="L82" s="18" t="str">
        <f>IFERROR(IF(E82="supply",VLOOKUP(F82,'Stocks sheet'!#REF!,8,0),VLOOKUP(G82,'Stocks sheet'!$D$2:$L$98,9,0)),"")</f>
        <v/>
      </c>
      <c r="M82" s="8"/>
    </row>
    <row r="83" spans="1:13" ht="15" thickBot="1" x14ac:dyDescent="0.35">
      <c r="A83" s="20"/>
      <c r="B83" s="33"/>
      <c r="C83" s="10"/>
      <c r="D83" s="8"/>
      <c r="E83" s="8"/>
      <c r="F83" s="8"/>
      <c r="G83" s="8"/>
      <c r="H83" s="17" t="str">
        <f>IFERROR(IF(E83="supply",VLOOKUP(F83,'Stocks sheet'!$O$2:$W$100,2,0),VLOOKUP(G83,'Stocks sheet'!$D$2:$F$98,2,0)),"")</f>
        <v/>
      </c>
      <c r="I83" s="9"/>
      <c r="J83" s="8"/>
      <c r="K83" s="17" t="str">
        <f t="shared" si="1"/>
        <v/>
      </c>
      <c r="L83" s="18" t="str">
        <f>IFERROR(IF(E83="supply",VLOOKUP(F83,'Stocks sheet'!#REF!,8,0),VLOOKUP(G83,'Stocks sheet'!$D$2:$L$98,9,0)),"")</f>
        <v/>
      </c>
      <c r="M83" s="8"/>
    </row>
    <row r="84" spans="1:13" ht="15" thickBot="1" x14ac:dyDescent="0.35">
      <c r="A84" s="20"/>
      <c r="B84" s="33"/>
      <c r="C84" s="10"/>
      <c r="D84" s="8"/>
      <c r="E84" s="8"/>
      <c r="F84" s="8"/>
      <c r="G84" s="8"/>
      <c r="H84" s="17" t="str">
        <f>IFERROR(IF(E84="supply",VLOOKUP(F84,'Stocks sheet'!$O$2:$W$100,2,0),VLOOKUP(G84,'Stocks sheet'!$D$2:$F$98,2,0)),"")</f>
        <v/>
      </c>
      <c r="I84" s="9"/>
      <c r="J84" s="8"/>
      <c r="K84" s="17" t="str">
        <f t="shared" si="1"/>
        <v/>
      </c>
      <c r="L84" s="18" t="str">
        <f>IFERROR(IF(E84="supply",VLOOKUP(F84,'Stocks sheet'!#REF!,8,0),VLOOKUP(G84,'Stocks sheet'!$D$2:$L$98,9,0)),"")</f>
        <v/>
      </c>
      <c r="M84" s="8"/>
    </row>
    <row r="85" spans="1:13" ht="15" thickBot="1" x14ac:dyDescent="0.35">
      <c r="A85" s="20"/>
      <c r="B85" s="33"/>
      <c r="C85" s="10"/>
      <c r="D85" s="8"/>
      <c r="E85" s="8"/>
      <c r="F85" s="8"/>
      <c r="G85" s="8"/>
      <c r="H85" s="17" t="str">
        <f>IFERROR(IF(E85="supply",VLOOKUP(F85,'Stocks sheet'!$O$2:$W$100,2,0),VLOOKUP(G85,'Stocks sheet'!$D$2:$F$98,2,0)),"")</f>
        <v/>
      </c>
      <c r="I85" s="9"/>
      <c r="J85" s="8"/>
      <c r="K85" s="17" t="str">
        <f t="shared" si="1"/>
        <v/>
      </c>
      <c r="L85" s="18" t="str">
        <f>IFERROR(IF(E85="supply",VLOOKUP(F85,'Stocks sheet'!#REF!,8,0),VLOOKUP(G85,'Stocks sheet'!$D$2:$L$98,9,0)),"")</f>
        <v/>
      </c>
      <c r="M85" s="8"/>
    </row>
    <row r="86" spans="1:13" ht="15" thickBot="1" x14ac:dyDescent="0.35">
      <c r="A86" s="20"/>
      <c r="B86" s="33"/>
      <c r="C86" s="10"/>
      <c r="D86" s="8"/>
      <c r="E86" s="8"/>
      <c r="F86" s="8"/>
      <c r="G86" s="8"/>
      <c r="H86" s="17" t="str">
        <f>IFERROR(IF(E86="supply",VLOOKUP(F86,'Stocks sheet'!$O$2:$W$100,2,0),VLOOKUP(G86,'Stocks sheet'!$D$2:$F$98,2,0)),"")</f>
        <v/>
      </c>
      <c r="I86" s="9"/>
      <c r="J86" s="8"/>
      <c r="K86" s="17" t="str">
        <f t="shared" si="1"/>
        <v/>
      </c>
      <c r="L86" s="18" t="str">
        <f>IFERROR(IF(E86="supply",VLOOKUP(F86,'Stocks sheet'!O69:W167,8,0),VLOOKUP(G86,'Stocks sheet'!$D$2:$L$98,9,0)),"")</f>
        <v/>
      </c>
      <c r="M86" s="8"/>
    </row>
    <row r="87" spans="1:13" ht="15" thickBot="1" x14ac:dyDescent="0.35">
      <c r="A87" s="20"/>
      <c r="B87" s="33"/>
      <c r="C87" s="10"/>
      <c r="D87" s="8"/>
      <c r="E87" s="8"/>
      <c r="F87" s="8"/>
      <c r="G87" s="8"/>
      <c r="H87" s="17" t="str">
        <f>IFERROR(IF(E87="supply",VLOOKUP(F87,'Stocks sheet'!$O$2:$W$100,2,0),VLOOKUP(G87,'Stocks sheet'!$D$2:$F$98,2,0)),"")</f>
        <v/>
      </c>
      <c r="I87" s="9"/>
      <c r="J87" s="8"/>
      <c r="K87" s="17" t="str">
        <f t="shared" si="1"/>
        <v/>
      </c>
      <c r="L87" s="18" t="str">
        <f>IFERROR(IF(E87="supply",VLOOKUP(F87,'Stocks sheet'!O70:W168,8,0),VLOOKUP(G87,'Stocks sheet'!$D$2:$L$98,9,0)),"")</f>
        <v/>
      </c>
      <c r="M87" s="8"/>
    </row>
    <row r="88" spans="1:13" ht="15" thickBot="1" x14ac:dyDescent="0.35">
      <c r="A88" s="20"/>
      <c r="B88" s="33"/>
      <c r="C88" s="10"/>
      <c r="D88" s="8"/>
      <c r="E88" s="8"/>
      <c r="F88" s="8"/>
      <c r="G88" s="8"/>
      <c r="H88" s="17" t="str">
        <f>IFERROR(IF(E88="supply",VLOOKUP(F88,'Stocks sheet'!$O$2:$W$100,2,0),VLOOKUP(G88,'Stocks sheet'!$D$2:$F$98,2,0)),"")</f>
        <v/>
      </c>
      <c r="I88" s="9"/>
      <c r="J88" s="8"/>
      <c r="K88" s="17" t="str">
        <f t="shared" si="1"/>
        <v/>
      </c>
      <c r="L88" s="18" t="str">
        <f>IFERROR(IF(E88="supply",VLOOKUP(F88,'Stocks sheet'!#REF!,8,0),VLOOKUP(G88,'Stocks sheet'!$D$2:$L$98,9,0)),"")</f>
        <v/>
      </c>
      <c r="M88" s="8"/>
    </row>
    <row r="89" spans="1:13" ht="15" thickBot="1" x14ac:dyDescent="0.35">
      <c r="A89" s="20"/>
      <c r="B89" s="33"/>
      <c r="C89" s="10"/>
      <c r="D89" s="8"/>
      <c r="E89" s="8"/>
      <c r="F89" s="8"/>
      <c r="G89" s="8"/>
      <c r="H89" s="17" t="str">
        <f>IFERROR(IF(E89="supply",VLOOKUP(F89,'Stocks sheet'!$O$2:$W$100,2,0),VLOOKUP(G89,'Stocks sheet'!$D$2:$F$98,2,0)),"")</f>
        <v/>
      </c>
      <c r="I89" s="9"/>
      <c r="J89" s="8"/>
      <c r="K89" s="17" t="str">
        <f t="shared" si="1"/>
        <v/>
      </c>
      <c r="L89" s="18" t="str">
        <f>IFERROR(IF(E89="supply",VLOOKUP(F89,'Stocks sheet'!#REF!,8,0),VLOOKUP(G89,'Stocks sheet'!$D$2:$L$98,9,0)),"")</f>
        <v/>
      </c>
      <c r="M89" s="8"/>
    </row>
    <row r="90" spans="1:13" ht="15" thickBot="1" x14ac:dyDescent="0.35">
      <c r="A90" s="20"/>
      <c r="B90" s="33"/>
      <c r="C90" s="10"/>
      <c r="D90" s="8"/>
      <c r="E90" s="8"/>
      <c r="F90" s="8"/>
      <c r="G90" s="8"/>
      <c r="H90" s="17" t="str">
        <f>IFERROR(IF(E90="supply",VLOOKUP(F90,'Stocks sheet'!$O$2:$W$100,2,0),VLOOKUP(G90,'Stocks sheet'!$D$2:$F$98,2,0)),"")</f>
        <v/>
      </c>
      <c r="I90" s="9"/>
      <c r="J90" s="8"/>
      <c r="K90" s="17" t="str">
        <f t="shared" si="1"/>
        <v/>
      </c>
      <c r="L90" s="18" t="str">
        <f>IFERROR(IF(E90="supply",VLOOKUP(F90,'Stocks sheet'!#REF!,8,0),VLOOKUP(G90,'Stocks sheet'!$D$2:$L$98,9,0)),"")</f>
        <v/>
      </c>
      <c r="M90" s="8"/>
    </row>
    <row r="91" spans="1:13" ht="15" thickBot="1" x14ac:dyDescent="0.35">
      <c r="A91" s="20"/>
      <c r="B91" s="33"/>
      <c r="C91" s="10"/>
      <c r="D91" s="8"/>
      <c r="E91" s="8"/>
      <c r="F91" s="8"/>
      <c r="G91" s="8"/>
      <c r="H91" s="17" t="str">
        <f>IFERROR(IF(E91="supply",VLOOKUP(F91,'Stocks sheet'!$O$2:$W$100,2,0),VLOOKUP(G91,'Stocks sheet'!$D$2:$F$98,2,0)),"")</f>
        <v/>
      </c>
      <c r="I91" s="9"/>
      <c r="J91" s="8"/>
      <c r="K91" s="17" t="str">
        <f t="shared" si="1"/>
        <v/>
      </c>
      <c r="L91" s="18" t="str">
        <f>IFERROR(IF(E91="supply",VLOOKUP(F91,'Stocks sheet'!#REF!,8,0),VLOOKUP(G91,'Stocks sheet'!$D$2:$L$98,9,0)),"")</f>
        <v/>
      </c>
      <c r="M91" s="8"/>
    </row>
    <row r="92" spans="1:13" ht="15" thickBot="1" x14ac:dyDescent="0.35">
      <c r="A92" s="20"/>
      <c r="B92" s="33"/>
      <c r="C92" s="10"/>
      <c r="D92" s="8"/>
      <c r="E92" s="8"/>
      <c r="F92" s="8"/>
      <c r="G92" s="8"/>
      <c r="H92" s="17" t="str">
        <f>IFERROR(IF(E92="supply",VLOOKUP(F92,'Stocks sheet'!$O$2:$W$100,2,0),VLOOKUP(G92,'Stocks sheet'!$D$2:$F$98,2,0)),"")</f>
        <v/>
      </c>
      <c r="I92" s="9"/>
      <c r="J92" s="8"/>
      <c r="K92" s="17" t="str">
        <f t="shared" si="1"/>
        <v/>
      </c>
      <c r="L92" s="18" t="str">
        <f>IFERROR(IF(E92="supply",VLOOKUP(F92,'Stocks sheet'!#REF!,8,0),VLOOKUP(G92,'Stocks sheet'!$D$2:$L$98,9,0)),"")</f>
        <v/>
      </c>
      <c r="M92" s="8"/>
    </row>
    <row r="93" spans="1:13" ht="15" thickBot="1" x14ac:dyDescent="0.35">
      <c r="A93" s="20"/>
      <c r="B93" s="33"/>
      <c r="C93" s="10"/>
      <c r="D93" s="8"/>
      <c r="E93" s="8"/>
      <c r="F93" s="8"/>
      <c r="G93" s="8"/>
      <c r="H93" s="17" t="str">
        <f>IFERROR(IF(E93="supply",VLOOKUP(F93,'Stocks sheet'!$O$2:$W$100,2,0),VLOOKUP(G93,'Stocks sheet'!$D$2:$F$98,2,0)),"")</f>
        <v/>
      </c>
      <c r="I93" s="9"/>
      <c r="J93" s="8"/>
      <c r="K93" s="17" t="str">
        <f t="shared" si="1"/>
        <v/>
      </c>
      <c r="L93" s="18" t="str">
        <f>IFERROR(IF(E93="supply",VLOOKUP(F93,'Stocks sheet'!#REF!,8,0),VLOOKUP(G93,'Stocks sheet'!$D$2:$L$98,9,0)),"")</f>
        <v/>
      </c>
      <c r="M93" s="8"/>
    </row>
    <row r="94" spans="1:13" ht="15" thickBot="1" x14ac:dyDescent="0.35">
      <c r="A94" s="20"/>
      <c r="B94" s="33"/>
      <c r="C94" s="10"/>
      <c r="D94" s="8"/>
      <c r="E94" s="8"/>
      <c r="F94" s="8"/>
      <c r="G94" s="8"/>
      <c r="H94" s="17" t="str">
        <f>IFERROR(IF(E94="supply",VLOOKUP(F94,'Stocks sheet'!$O$2:$W$100,2,0),VLOOKUP(G94,'Stocks sheet'!$D$2:$F$98,2,0)),"")</f>
        <v/>
      </c>
      <c r="I94" s="9"/>
      <c r="J94" s="8"/>
      <c r="K94" s="17" t="str">
        <f t="shared" si="1"/>
        <v/>
      </c>
      <c r="L94" s="18" t="str">
        <f>IFERROR(IF(E94="supply",VLOOKUP(F94,'Stocks sheet'!#REF!,8,0),VLOOKUP(G94,'Stocks sheet'!$D$2:$L$98,9,0)),"")</f>
        <v/>
      </c>
      <c r="M94" s="8"/>
    </row>
    <row r="95" spans="1:13" ht="15" thickBot="1" x14ac:dyDescent="0.35">
      <c r="A95" s="20"/>
      <c r="B95" s="33"/>
      <c r="C95" s="10"/>
      <c r="D95" s="8"/>
      <c r="E95" s="8"/>
      <c r="F95" s="8"/>
      <c r="G95" s="8"/>
      <c r="H95" s="17" t="str">
        <f>IFERROR(IF(E95="supply",VLOOKUP(F95,'Stocks sheet'!$O$2:$W$100,2,0),VLOOKUP(G95,'Stocks sheet'!$D$2:$F$98,2,0)),"")</f>
        <v/>
      </c>
      <c r="I95" s="9"/>
      <c r="J95" s="8"/>
      <c r="K95" s="17" t="str">
        <f t="shared" si="1"/>
        <v/>
      </c>
      <c r="L95" s="18" t="str">
        <f>IFERROR(IF(E95="supply",VLOOKUP(F95,'Stocks sheet'!#REF!,8,0),VLOOKUP(G95,'Stocks sheet'!$D$2:$L$98,9,0)),"")</f>
        <v/>
      </c>
      <c r="M95" s="8"/>
    </row>
    <row r="96" spans="1:13" ht="15" thickBot="1" x14ac:dyDescent="0.35">
      <c r="A96" s="20"/>
      <c r="B96" s="33"/>
      <c r="C96" s="10"/>
      <c r="D96" s="8"/>
      <c r="E96" s="8"/>
      <c r="F96" s="8"/>
      <c r="G96" s="8"/>
      <c r="H96" s="17" t="str">
        <f>IFERROR(IF(E96="supply",VLOOKUP(F96,'Stocks sheet'!$O$2:$W$100,2,0),VLOOKUP(G96,'Stocks sheet'!$D$2:$F$98,2,0)),"")</f>
        <v/>
      </c>
      <c r="I96" s="9"/>
      <c r="J96" s="8"/>
      <c r="K96" s="17" t="str">
        <f t="shared" si="1"/>
        <v/>
      </c>
      <c r="L96" s="18" t="str">
        <f>IFERROR(IF(E96="supply",VLOOKUP(F96,'Stocks sheet'!#REF!,8,0),VLOOKUP(G96,'Stocks sheet'!$D$2:$L$98,9,0)),"")</f>
        <v/>
      </c>
      <c r="M96" s="8"/>
    </row>
    <row r="97" spans="1:13" ht="15" thickBot="1" x14ac:dyDescent="0.35">
      <c r="A97" s="20"/>
      <c r="B97" s="33"/>
      <c r="C97" s="10"/>
      <c r="D97" s="8"/>
      <c r="E97" s="8"/>
      <c r="F97" s="8"/>
      <c r="G97" s="8"/>
      <c r="H97" s="17" t="str">
        <f>IFERROR(IF(E97="supply",VLOOKUP(F97,'Stocks sheet'!$O$2:$W$100,2,0),VLOOKUP(G97,'Stocks sheet'!$D$2:$F$98,2,0)),"")</f>
        <v/>
      </c>
      <c r="I97" s="9"/>
      <c r="J97" s="8"/>
      <c r="K97" s="17" t="str">
        <f t="shared" si="1"/>
        <v/>
      </c>
      <c r="L97" s="18" t="str">
        <f>IFERROR(IF(E97="supply",VLOOKUP(F97,'Stocks sheet'!#REF!,8,0),VLOOKUP(G97,'Stocks sheet'!$D$2:$L$98,9,0)),"")</f>
        <v/>
      </c>
      <c r="M97" s="8"/>
    </row>
    <row r="98" spans="1:13" ht="15" thickBot="1" x14ac:dyDescent="0.35">
      <c r="A98" s="20"/>
      <c r="B98" s="33"/>
      <c r="C98" s="10"/>
      <c r="D98" s="8"/>
      <c r="E98" s="8"/>
      <c r="F98" s="8"/>
      <c r="G98" s="8"/>
      <c r="H98" s="17" t="str">
        <f>IFERROR(IF(E98="supply",VLOOKUP(F98,'Stocks sheet'!$O$2:$W$100,2,0),VLOOKUP(G98,'Stocks sheet'!$D$2:$F$98,2,0)),"")</f>
        <v/>
      </c>
      <c r="I98" s="9"/>
      <c r="J98" s="8"/>
      <c r="K98" s="17" t="str">
        <f t="shared" si="1"/>
        <v/>
      </c>
      <c r="L98" s="18" t="str">
        <f>IFERROR(IF(E98="supply",VLOOKUP(F98,'Stocks sheet'!#REF!,8,0),VLOOKUP(G98,'Stocks sheet'!$D$2:$L$98,9,0)),"")</f>
        <v/>
      </c>
      <c r="M98" s="8"/>
    </row>
    <row r="99" spans="1:13" ht="15" thickBot="1" x14ac:dyDescent="0.35">
      <c r="A99" s="20"/>
      <c r="B99" s="33"/>
      <c r="C99" s="10"/>
      <c r="D99" s="8"/>
      <c r="E99" s="8"/>
      <c r="F99" s="8"/>
      <c r="G99" s="8"/>
      <c r="H99" s="17" t="str">
        <f>IFERROR(IF(E99="supply",VLOOKUP(F99,'Stocks sheet'!$O$2:$W$100,2,0),VLOOKUP(G99,'Stocks sheet'!$D$2:$F$98,2,0)),"")</f>
        <v/>
      </c>
      <c r="I99" s="9"/>
      <c r="J99" s="8"/>
      <c r="K99" s="17" t="str">
        <f t="shared" si="1"/>
        <v/>
      </c>
      <c r="L99" s="18" t="str">
        <f>IFERROR(IF(E99="supply",VLOOKUP(F99,'Stocks sheet'!#REF!,8,0),VLOOKUP(G99,'Stocks sheet'!$D$2:$L$98,9,0)),"")</f>
        <v/>
      </c>
      <c r="M99" s="8"/>
    </row>
    <row r="100" spans="1:13" ht="15" thickBot="1" x14ac:dyDescent="0.35">
      <c r="A100" s="20"/>
      <c r="B100" s="34"/>
      <c r="C100" s="10"/>
      <c r="D100" s="8"/>
      <c r="E100" s="8"/>
      <c r="F100" s="8"/>
      <c r="G100" s="8"/>
      <c r="H100" s="17" t="str">
        <f>IFERROR(IF(E100="supply",VLOOKUP(F100,'Stocks sheet'!$O$2:$W$100,2,0),VLOOKUP(G100,'Stocks sheet'!$D$2:$F$98,2,0)),"")</f>
        <v/>
      </c>
      <c r="I100" s="9"/>
      <c r="J100" s="8"/>
      <c r="K100" s="17" t="str">
        <f t="shared" si="1"/>
        <v/>
      </c>
      <c r="L100" s="18" t="str">
        <f>IFERROR(IF(E100="supply",VLOOKUP(F100,'Stocks sheet'!#REF!,8,0),VLOOKUP(G100,'Stocks sheet'!$D$2:$L$98,9,0)),"")</f>
        <v/>
      </c>
      <c r="M100" s="8"/>
    </row>
    <row r="101" spans="1:13" x14ac:dyDescent="0.3">
      <c r="A101" s="20"/>
      <c r="B101" s="20"/>
      <c r="C101" s="20"/>
      <c r="D101" s="20"/>
    </row>
    <row r="102" spans="1:13" x14ac:dyDescent="0.3">
      <c r="A102" s="20"/>
    </row>
    <row r="103" spans="1:13" x14ac:dyDescent="0.3">
      <c r="A103" s="20"/>
    </row>
    <row r="104" spans="1:13" x14ac:dyDescent="0.3">
      <c r="A104" s="20"/>
    </row>
    <row r="105" spans="1:13" x14ac:dyDescent="0.3">
      <c r="A105" s="20"/>
    </row>
    <row r="106" spans="1:13" x14ac:dyDescent="0.3">
      <c r="A106" s="20"/>
    </row>
    <row r="107" spans="1:13" x14ac:dyDescent="0.3">
      <c r="A107" s="20"/>
    </row>
    <row r="108" spans="1:13" x14ac:dyDescent="0.3">
      <c r="A108" s="20"/>
    </row>
    <row r="109" spans="1:13" x14ac:dyDescent="0.3">
      <c r="A109" s="20"/>
    </row>
    <row r="110" spans="1:13" x14ac:dyDescent="0.3">
      <c r="A110" s="20"/>
    </row>
    <row r="111" spans="1:13" x14ac:dyDescent="0.3">
      <c r="A111" s="20"/>
    </row>
    <row r="112" spans="1:13" x14ac:dyDescent="0.3">
      <c r="A112" s="20"/>
    </row>
    <row r="113" spans="1:1" x14ac:dyDescent="0.3">
      <c r="A113" s="20"/>
    </row>
    <row r="114" spans="1:1" x14ac:dyDescent="0.3">
      <c r="A114" s="20"/>
    </row>
    <row r="115" spans="1:1" x14ac:dyDescent="0.3">
      <c r="A115" s="20"/>
    </row>
    <row r="116" spans="1:1" x14ac:dyDescent="0.3">
      <c r="A116" s="20"/>
    </row>
    <row r="117" spans="1:1" x14ac:dyDescent="0.3">
      <c r="A117" s="20"/>
    </row>
    <row r="118" spans="1:1" x14ac:dyDescent="0.3">
      <c r="A118" s="20"/>
    </row>
    <row r="119" spans="1:1" x14ac:dyDescent="0.3">
      <c r="A119" s="20"/>
    </row>
    <row r="120" spans="1:1" x14ac:dyDescent="0.3">
      <c r="A120" s="20"/>
    </row>
    <row r="121" spans="1:1" x14ac:dyDescent="0.3">
      <c r="A121" s="20"/>
    </row>
    <row r="122" spans="1:1" x14ac:dyDescent="0.3">
      <c r="A122" s="20"/>
    </row>
    <row r="123" spans="1:1" x14ac:dyDescent="0.3">
      <c r="A123" s="20"/>
    </row>
    <row r="124" spans="1:1" x14ac:dyDescent="0.3">
      <c r="A124" s="20"/>
    </row>
    <row r="125" spans="1:1" x14ac:dyDescent="0.3">
      <c r="A125" s="20"/>
    </row>
    <row r="126" spans="1:1" x14ac:dyDescent="0.3">
      <c r="A126" s="20"/>
    </row>
    <row r="127" spans="1:1" x14ac:dyDescent="0.3">
      <c r="A127" s="20"/>
    </row>
    <row r="128" spans="1:1" x14ac:dyDescent="0.3">
      <c r="A128" s="20"/>
    </row>
    <row r="129" spans="1:1" x14ac:dyDescent="0.3">
      <c r="A129" s="20"/>
    </row>
    <row r="130" spans="1:1" x14ac:dyDescent="0.3">
      <c r="A130" s="20"/>
    </row>
    <row r="131" spans="1:1" x14ac:dyDescent="0.3">
      <c r="A131" s="20"/>
    </row>
    <row r="132" spans="1:1" x14ac:dyDescent="0.3">
      <c r="A132" s="20"/>
    </row>
    <row r="133" spans="1:1" x14ac:dyDescent="0.3">
      <c r="A133" s="20"/>
    </row>
    <row r="134" spans="1:1" x14ac:dyDescent="0.3">
      <c r="A134" s="20"/>
    </row>
    <row r="135" spans="1:1" x14ac:dyDescent="0.3">
      <c r="A135" s="20"/>
    </row>
    <row r="136" spans="1:1" x14ac:dyDescent="0.3">
      <c r="A136" s="20"/>
    </row>
    <row r="137" spans="1:1" x14ac:dyDescent="0.3">
      <c r="A137" s="20"/>
    </row>
    <row r="138" spans="1:1" x14ac:dyDescent="0.3">
      <c r="A138" s="20"/>
    </row>
    <row r="139" spans="1:1" x14ac:dyDescent="0.3">
      <c r="A139" s="20"/>
    </row>
    <row r="140" spans="1:1" x14ac:dyDescent="0.3">
      <c r="A140" s="20"/>
    </row>
    <row r="141" spans="1:1" x14ac:dyDescent="0.3">
      <c r="A141" s="20"/>
    </row>
    <row r="142" spans="1:1" x14ac:dyDescent="0.3">
      <c r="A142" s="20"/>
    </row>
    <row r="143" spans="1:1" x14ac:dyDescent="0.3">
      <c r="A143" s="20"/>
    </row>
    <row r="144" spans="1:1" x14ac:dyDescent="0.3">
      <c r="A144" s="20"/>
    </row>
    <row r="145" spans="1:1" x14ac:dyDescent="0.3">
      <c r="A145" s="20"/>
    </row>
    <row r="146" spans="1:1" x14ac:dyDescent="0.3">
      <c r="A146" s="20"/>
    </row>
    <row r="147" spans="1:1" x14ac:dyDescent="0.3">
      <c r="A147" s="20"/>
    </row>
    <row r="148" spans="1:1" x14ac:dyDescent="0.3">
      <c r="A148" s="20"/>
    </row>
    <row r="149" spans="1:1" x14ac:dyDescent="0.3">
      <c r="A149" s="20"/>
    </row>
    <row r="150" spans="1:1" x14ac:dyDescent="0.3">
      <c r="A150" s="20"/>
    </row>
    <row r="151" spans="1:1" x14ac:dyDescent="0.3">
      <c r="A151" s="20"/>
    </row>
    <row r="152" spans="1:1" x14ac:dyDescent="0.3">
      <c r="A152" s="20"/>
    </row>
    <row r="153" spans="1:1" x14ac:dyDescent="0.3">
      <c r="A153" s="20"/>
    </row>
    <row r="154" spans="1:1" x14ac:dyDescent="0.3">
      <c r="A154" s="20"/>
    </row>
    <row r="155" spans="1:1" x14ac:dyDescent="0.3">
      <c r="A155" s="20"/>
    </row>
    <row r="156" spans="1:1" x14ac:dyDescent="0.3">
      <c r="A156" s="20"/>
    </row>
    <row r="157" spans="1:1" x14ac:dyDescent="0.3">
      <c r="A157" s="20"/>
    </row>
    <row r="158" spans="1:1" x14ac:dyDescent="0.3">
      <c r="A158" s="20"/>
    </row>
    <row r="159" spans="1:1" x14ac:dyDescent="0.3">
      <c r="A159" s="20"/>
    </row>
    <row r="160" spans="1:1" x14ac:dyDescent="0.3">
      <c r="A160" s="20"/>
    </row>
    <row r="161" spans="1:1" x14ac:dyDescent="0.3">
      <c r="A161" s="20"/>
    </row>
    <row r="162" spans="1:1" x14ac:dyDescent="0.3">
      <c r="A162" s="20"/>
    </row>
    <row r="163" spans="1:1" x14ac:dyDescent="0.3">
      <c r="A163" s="20"/>
    </row>
    <row r="164" spans="1:1" x14ac:dyDescent="0.3">
      <c r="A164" s="20"/>
    </row>
    <row r="165" spans="1:1" x14ac:dyDescent="0.3">
      <c r="A165" s="20"/>
    </row>
    <row r="166" spans="1:1" x14ac:dyDescent="0.3">
      <c r="A166" s="20"/>
    </row>
    <row r="167" spans="1:1" x14ac:dyDescent="0.3">
      <c r="A167" s="20"/>
    </row>
    <row r="168" spans="1:1" x14ac:dyDescent="0.3">
      <c r="A168" s="20"/>
    </row>
    <row r="169" spans="1:1" x14ac:dyDescent="0.3">
      <c r="A169" s="20"/>
    </row>
    <row r="170" spans="1:1" x14ac:dyDescent="0.3">
      <c r="A170" s="20"/>
    </row>
    <row r="171" spans="1:1" x14ac:dyDescent="0.3">
      <c r="A171" s="20"/>
    </row>
    <row r="172" spans="1:1" x14ac:dyDescent="0.3">
      <c r="A172" s="20"/>
    </row>
    <row r="173" spans="1:1" x14ac:dyDescent="0.3">
      <c r="A173" s="20"/>
    </row>
    <row r="174" spans="1:1" x14ac:dyDescent="0.3">
      <c r="A174" s="20"/>
    </row>
    <row r="175" spans="1:1" x14ac:dyDescent="0.3">
      <c r="A175" s="20"/>
    </row>
    <row r="176" spans="1:1" x14ac:dyDescent="0.3">
      <c r="A176" s="20"/>
    </row>
    <row r="177" spans="1:1" x14ac:dyDescent="0.3">
      <c r="A177" s="20"/>
    </row>
    <row r="178" spans="1:1" x14ac:dyDescent="0.3">
      <c r="A178" s="20"/>
    </row>
    <row r="179" spans="1:1" x14ac:dyDescent="0.3">
      <c r="A179" s="20"/>
    </row>
    <row r="180" spans="1:1" x14ac:dyDescent="0.3">
      <c r="A180" s="20"/>
    </row>
    <row r="181" spans="1:1" x14ac:dyDescent="0.3">
      <c r="A181" s="20"/>
    </row>
    <row r="182" spans="1:1" x14ac:dyDescent="0.3">
      <c r="A182" s="20"/>
    </row>
    <row r="183" spans="1:1" x14ac:dyDescent="0.3">
      <c r="A183" s="20"/>
    </row>
    <row r="184" spans="1:1" x14ac:dyDescent="0.3">
      <c r="A184" s="20"/>
    </row>
    <row r="185" spans="1:1" x14ac:dyDescent="0.3">
      <c r="A185" s="20"/>
    </row>
    <row r="186" spans="1:1" x14ac:dyDescent="0.3">
      <c r="A186" s="20"/>
    </row>
    <row r="187" spans="1:1" x14ac:dyDescent="0.3">
      <c r="A187" s="20"/>
    </row>
    <row r="188" spans="1:1" x14ac:dyDescent="0.3">
      <c r="A188" s="20"/>
    </row>
    <row r="189" spans="1:1" x14ac:dyDescent="0.3">
      <c r="A189" s="20"/>
    </row>
    <row r="190" spans="1:1" x14ac:dyDescent="0.3">
      <c r="A190" s="20"/>
    </row>
    <row r="191" spans="1:1" x14ac:dyDescent="0.3">
      <c r="A191" s="20"/>
    </row>
    <row r="192" spans="1:1" x14ac:dyDescent="0.3">
      <c r="A192" s="20"/>
    </row>
    <row r="193" spans="1:1" x14ac:dyDescent="0.3">
      <c r="A193" s="20"/>
    </row>
    <row r="194" spans="1:1" x14ac:dyDescent="0.3">
      <c r="A194" s="20"/>
    </row>
    <row r="195" spans="1:1" x14ac:dyDescent="0.3">
      <c r="A195" s="20"/>
    </row>
    <row r="196" spans="1:1" x14ac:dyDescent="0.3">
      <c r="A196" s="20"/>
    </row>
    <row r="197" spans="1:1" x14ac:dyDescent="0.3">
      <c r="A197" s="20"/>
    </row>
    <row r="198" spans="1:1" x14ac:dyDescent="0.3">
      <c r="A198" s="20"/>
    </row>
    <row r="199" spans="1:1" x14ac:dyDescent="0.3">
      <c r="A199" s="20"/>
    </row>
    <row r="200" spans="1:1" x14ac:dyDescent="0.3">
      <c r="A200" s="20"/>
    </row>
    <row r="201" spans="1:1" x14ac:dyDescent="0.3">
      <c r="A201" s="20"/>
    </row>
    <row r="202" spans="1:1" x14ac:dyDescent="0.3">
      <c r="A202" s="20"/>
    </row>
    <row r="203" spans="1:1" x14ac:dyDescent="0.3">
      <c r="A203" s="20"/>
    </row>
    <row r="204" spans="1:1" x14ac:dyDescent="0.3">
      <c r="A204" s="20"/>
    </row>
    <row r="205" spans="1:1" x14ac:dyDescent="0.3">
      <c r="A205" s="20"/>
    </row>
    <row r="206" spans="1:1" x14ac:dyDescent="0.3">
      <c r="A206" s="20"/>
    </row>
    <row r="207" spans="1:1" x14ac:dyDescent="0.3">
      <c r="A207" s="20"/>
    </row>
    <row r="208" spans="1:1" x14ac:dyDescent="0.3">
      <c r="A208" s="20"/>
    </row>
    <row r="209" spans="1:1" x14ac:dyDescent="0.3">
      <c r="A209" s="20"/>
    </row>
    <row r="210" spans="1:1" x14ac:dyDescent="0.3">
      <c r="A210" s="20"/>
    </row>
    <row r="211" spans="1:1" x14ac:dyDescent="0.3">
      <c r="A211" s="20"/>
    </row>
    <row r="212" spans="1:1" x14ac:dyDescent="0.3">
      <c r="A212" s="20"/>
    </row>
    <row r="213" spans="1:1" x14ac:dyDescent="0.3">
      <c r="A213" s="20"/>
    </row>
    <row r="214" spans="1:1" x14ac:dyDescent="0.3">
      <c r="A214" s="20"/>
    </row>
    <row r="215" spans="1:1" x14ac:dyDescent="0.3">
      <c r="A215" s="20"/>
    </row>
    <row r="216" spans="1:1" x14ac:dyDescent="0.3">
      <c r="A216" s="20"/>
    </row>
    <row r="217" spans="1:1" x14ac:dyDescent="0.3">
      <c r="A217" s="20"/>
    </row>
    <row r="218" spans="1:1" x14ac:dyDescent="0.3">
      <c r="A218" s="20"/>
    </row>
    <row r="219" spans="1:1" x14ac:dyDescent="0.3">
      <c r="A219" s="20"/>
    </row>
    <row r="220" spans="1:1" x14ac:dyDescent="0.3">
      <c r="A220" s="20"/>
    </row>
    <row r="221" spans="1:1" x14ac:dyDescent="0.3">
      <c r="A221" s="20"/>
    </row>
    <row r="222" spans="1:1" x14ac:dyDescent="0.3">
      <c r="A222" s="20"/>
    </row>
    <row r="223" spans="1:1" x14ac:dyDescent="0.3">
      <c r="A223" s="20"/>
    </row>
    <row r="224" spans="1:1" x14ac:dyDescent="0.3">
      <c r="A224" s="20"/>
    </row>
    <row r="225" spans="1:1" x14ac:dyDescent="0.3">
      <c r="A225" s="20"/>
    </row>
    <row r="226" spans="1:1" x14ac:dyDescent="0.3">
      <c r="A226" s="20"/>
    </row>
    <row r="227" spans="1:1" x14ac:dyDescent="0.3">
      <c r="A227" s="20"/>
    </row>
    <row r="228" spans="1:1" x14ac:dyDescent="0.3">
      <c r="A228" s="20"/>
    </row>
    <row r="229" spans="1:1" x14ac:dyDescent="0.3">
      <c r="A229" s="20"/>
    </row>
    <row r="230" spans="1:1" x14ac:dyDescent="0.3">
      <c r="A230" s="20"/>
    </row>
    <row r="231" spans="1:1" x14ac:dyDescent="0.3">
      <c r="A231" s="20"/>
    </row>
    <row r="232" spans="1:1" x14ac:dyDescent="0.3">
      <c r="A232" s="20"/>
    </row>
    <row r="233" spans="1:1" x14ac:dyDescent="0.3">
      <c r="A233" s="20"/>
    </row>
    <row r="234" spans="1:1" x14ac:dyDescent="0.3">
      <c r="A234" s="20"/>
    </row>
    <row r="235" spans="1:1" x14ac:dyDescent="0.3">
      <c r="A235" s="20"/>
    </row>
    <row r="236" spans="1:1" x14ac:dyDescent="0.3">
      <c r="A236" s="20"/>
    </row>
    <row r="237" spans="1:1" x14ac:dyDescent="0.3">
      <c r="A237" s="20"/>
    </row>
    <row r="238" spans="1:1" x14ac:dyDescent="0.3">
      <c r="A238" s="20"/>
    </row>
    <row r="239" spans="1:1" x14ac:dyDescent="0.3">
      <c r="A239" s="20"/>
    </row>
    <row r="240" spans="1:1" x14ac:dyDescent="0.3">
      <c r="A240" s="20"/>
    </row>
    <row r="241" spans="1:1" x14ac:dyDescent="0.3">
      <c r="A241" s="20"/>
    </row>
    <row r="242" spans="1:1" x14ac:dyDescent="0.3">
      <c r="A242" s="20"/>
    </row>
    <row r="243" spans="1:1" x14ac:dyDescent="0.3">
      <c r="A243" s="20"/>
    </row>
    <row r="244" spans="1:1" x14ac:dyDescent="0.3">
      <c r="A244" s="20"/>
    </row>
    <row r="245" spans="1:1" x14ac:dyDescent="0.3">
      <c r="A245" s="20"/>
    </row>
    <row r="246" spans="1:1" x14ac:dyDescent="0.3">
      <c r="A246" s="20"/>
    </row>
    <row r="247" spans="1:1" x14ac:dyDescent="0.3">
      <c r="A247" s="20"/>
    </row>
    <row r="248" spans="1:1" x14ac:dyDescent="0.3">
      <c r="A248" s="20"/>
    </row>
    <row r="249" spans="1:1" x14ac:dyDescent="0.3">
      <c r="A249" s="20"/>
    </row>
    <row r="250" spans="1:1" x14ac:dyDescent="0.3">
      <c r="A250" s="20"/>
    </row>
    <row r="251" spans="1:1" x14ac:dyDescent="0.3">
      <c r="A251" s="20"/>
    </row>
    <row r="252" spans="1:1" x14ac:dyDescent="0.3">
      <c r="A252" s="20"/>
    </row>
    <row r="253" spans="1:1" x14ac:dyDescent="0.3">
      <c r="A253" s="20"/>
    </row>
    <row r="254" spans="1:1" x14ac:dyDescent="0.3">
      <c r="A254" s="20"/>
    </row>
    <row r="255" spans="1:1" x14ac:dyDescent="0.3">
      <c r="A255" s="20"/>
    </row>
    <row r="256" spans="1:1" x14ac:dyDescent="0.3">
      <c r="A256" s="20"/>
    </row>
    <row r="257" spans="1:1" x14ac:dyDescent="0.3">
      <c r="A257" s="20"/>
    </row>
    <row r="258" spans="1:1" x14ac:dyDescent="0.3">
      <c r="A258" s="20"/>
    </row>
    <row r="259" spans="1:1" x14ac:dyDescent="0.3">
      <c r="A259" s="20"/>
    </row>
    <row r="260" spans="1:1" x14ac:dyDescent="0.3">
      <c r="A260" s="20"/>
    </row>
    <row r="261" spans="1:1" x14ac:dyDescent="0.3">
      <c r="A261" s="20"/>
    </row>
    <row r="262" spans="1:1" x14ac:dyDescent="0.3">
      <c r="A262" s="20"/>
    </row>
    <row r="263" spans="1:1" x14ac:dyDescent="0.3">
      <c r="A263" s="20"/>
    </row>
    <row r="264" spans="1:1" x14ac:dyDescent="0.3">
      <c r="A264" s="20"/>
    </row>
    <row r="265" spans="1:1" x14ac:dyDescent="0.3">
      <c r="A265" s="20"/>
    </row>
    <row r="266" spans="1:1" x14ac:dyDescent="0.3">
      <c r="A266" s="20"/>
    </row>
    <row r="267" spans="1:1" x14ac:dyDescent="0.3">
      <c r="A267" s="20"/>
    </row>
    <row r="268" spans="1:1" x14ac:dyDescent="0.3">
      <c r="A268" s="20"/>
    </row>
    <row r="269" spans="1:1" x14ac:dyDescent="0.3">
      <c r="A269" s="20"/>
    </row>
    <row r="270" spans="1:1" x14ac:dyDescent="0.3">
      <c r="A270" s="20"/>
    </row>
    <row r="271" spans="1:1" x14ac:dyDescent="0.3">
      <c r="A271" s="20"/>
    </row>
    <row r="272" spans="1:1" x14ac:dyDescent="0.3">
      <c r="A272" s="20"/>
    </row>
    <row r="273" spans="1:1" x14ac:dyDescent="0.3">
      <c r="A273" s="20"/>
    </row>
    <row r="274" spans="1:1" x14ac:dyDescent="0.3">
      <c r="A274" s="20"/>
    </row>
    <row r="275" spans="1:1" x14ac:dyDescent="0.3">
      <c r="A275" s="20"/>
    </row>
    <row r="276" spans="1:1" x14ac:dyDescent="0.3">
      <c r="A276" s="20"/>
    </row>
    <row r="277" spans="1:1" x14ac:dyDescent="0.3">
      <c r="A277" s="20"/>
    </row>
    <row r="278" spans="1:1" x14ac:dyDescent="0.3">
      <c r="A278" s="20"/>
    </row>
    <row r="279" spans="1:1" x14ac:dyDescent="0.3">
      <c r="A279" s="20"/>
    </row>
    <row r="280" spans="1:1" x14ac:dyDescent="0.3">
      <c r="A280" s="20"/>
    </row>
    <row r="281" spans="1:1" x14ac:dyDescent="0.3">
      <c r="A281" s="20"/>
    </row>
    <row r="282" spans="1:1" x14ac:dyDescent="0.3">
      <c r="A282" s="20"/>
    </row>
    <row r="283" spans="1:1" x14ac:dyDescent="0.3">
      <c r="A283" s="20"/>
    </row>
    <row r="284" spans="1:1" x14ac:dyDescent="0.3">
      <c r="A284" s="20"/>
    </row>
    <row r="285" spans="1:1" x14ac:dyDescent="0.3">
      <c r="A285" s="20"/>
    </row>
    <row r="286" spans="1:1" x14ac:dyDescent="0.3">
      <c r="A286" s="20"/>
    </row>
    <row r="287" spans="1:1" x14ac:dyDescent="0.3">
      <c r="A287" s="20"/>
    </row>
    <row r="288" spans="1:1" x14ac:dyDescent="0.3">
      <c r="A288" s="20"/>
    </row>
    <row r="289" spans="1:1" x14ac:dyDescent="0.3">
      <c r="A289" s="20"/>
    </row>
    <row r="290" spans="1:1" x14ac:dyDescent="0.3">
      <c r="A290" s="20"/>
    </row>
    <row r="291" spans="1:1" x14ac:dyDescent="0.3">
      <c r="A291" s="20"/>
    </row>
    <row r="292" spans="1:1" x14ac:dyDescent="0.3">
      <c r="A292" s="20"/>
    </row>
    <row r="293" spans="1:1" x14ac:dyDescent="0.3">
      <c r="A293" s="20"/>
    </row>
    <row r="294" spans="1:1" x14ac:dyDescent="0.3">
      <c r="A294" s="20"/>
    </row>
    <row r="295" spans="1:1" x14ac:dyDescent="0.3">
      <c r="A295" s="20"/>
    </row>
    <row r="296" spans="1:1" x14ac:dyDescent="0.3">
      <c r="A296" s="20"/>
    </row>
    <row r="297" spans="1:1" x14ac:dyDescent="0.3">
      <c r="A297" s="20"/>
    </row>
    <row r="298" spans="1:1" x14ac:dyDescent="0.3">
      <c r="A298" s="20"/>
    </row>
    <row r="299" spans="1:1" x14ac:dyDescent="0.3">
      <c r="A299" s="20"/>
    </row>
    <row r="300" spans="1:1" x14ac:dyDescent="0.3">
      <c r="A300" s="20"/>
    </row>
    <row r="301" spans="1:1" x14ac:dyDescent="0.3">
      <c r="A301" s="20"/>
    </row>
    <row r="302" spans="1:1" x14ac:dyDescent="0.3">
      <c r="A302" s="20"/>
    </row>
    <row r="303" spans="1:1" x14ac:dyDescent="0.3">
      <c r="A303" s="20"/>
    </row>
    <row r="304" spans="1:1" x14ac:dyDescent="0.3">
      <c r="A304" s="20"/>
    </row>
    <row r="305" spans="1:1" x14ac:dyDescent="0.3">
      <c r="A305" s="20"/>
    </row>
    <row r="306" spans="1:1" x14ac:dyDescent="0.3">
      <c r="A306" s="20"/>
    </row>
    <row r="307" spans="1:1" x14ac:dyDescent="0.3">
      <c r="A307" s="20"/>
    </row>
    <row r="308" spans="1:1" x14ac:dyDescent="0.3">
      <c r="A308" s="20"/>
    </row>
    <row r="309" spans="1:1" x14ac:dyDescent="0.3">
      <c r="A309" s="20"/>
    </row>
    <row r="310" spans="1:1" x14ac:dyDescent="0.3">
      <c r="A310" s="20"/>
    </row>
    <row r="311" spans="1:1" x14ac:dyDescent="0.3">
      <c r="A311" s="20"/>
    </row>
    <row r="312" spans="1:1" x14ac:dyDescent="0.3">
      <c r="A312" s="20"/>
    </row>
    <row r="313" spans="1:1" x14ac:dyDescent="0.3">
      <c r="A313" s="20"/>
    </row>
    <row r="314" spans="1:1" x14ac:dyDescent="0.3">
      <c r="A314" s="20"/>
    </row>
    <row r="315" spans="1:1" x14ac:dyDescent="0.3">
      <c r="A315" s="20"/>
    </row>
    <row r="316" spans="1:1" x14ac:dyDescent="0.3">
      <c r="A316" s="20"/>
    </row>
    <row r="317" spans="1:1" x14ac:dyDescent="0.3">
      <c r="A317" s="20"/>
    </row>
    <row r="318" spans="1:1" x14ac:dyDescent="0.3">
      <c r="A318" s="20"/>
    </row>
    <row r="319" spans="1:1" x14ac:dyDescent="0.3">
      <c r="A319" s="20"/>
    </row>
    <row r="320" spans="1:1" x14ac:dyDescent="0.3">
      <c r="A320" s="20"/>
    </row>
    <row r="321" spans="1:1" x14ac:dyDescent="0.3">
      <c r="A321" s="20"/>
    </row>
    <row r="322" spans="1:1" x14ac:dyDescent="0.3">
      <c r="A322" s="20"/>
    </row>
    <row r="323" spans="1:1" x14ac:dyDescent="0.3">
      <c r="A323" s="20"/>
    </row>
    <row r="324" spans="1:1" x14ac:dyDescent="0.3">
      <c r="A324" s="20"/>
    </row>
    <row r="325" spans="1:1" x14ac:dyDescent="0.3">
      <c r="A325" s="20"/>
    </row>
    <row r="326" spans="1:1" x14ac:dyDescent="0.3">
      <c r="A326" s="20"/>
    </row>
    <row r="327" spans="1:1" x14ac:dyDescent="0.3">
      <c r="A327" s="20"/>
    </row>
    <row r="328" spans="1:1" x14ac:dyDescent="0.3">
      <c r="A328" s="20"/>
    </row>
    <row r="329" spans="1:1" x14ac:dyDescent="0.3">
      <c r="A329" s="20"/>
    </row>
    <row r="330" spans="1:1" x14ac:dyDescent="0.3">
      <c r="A330" s="20"/>
    </row>
    <row r="331" spans="1:1" x14ac:dyDescent="0.3">
      <c r="A331" s="20"/>
    </row>
    <row r="332" spans="1:1" x14ac:dyDescent="0.3">
      <c r="A332" s="20"/>
    </row>
    <row r="333" spans="1:1" x14ac:dyDescent="0.3">
      <c r="A333" s="20"/>
    </row>
    <row r="334" spans="1:1" x14ac:dyDescent="0.3">
      <c r="A334" s="20"/>
    </row>
    <row r="335" spans="1:1" x14ac:dyDescent="0.3">
      <c r="A335" s="20"/>
    </row>
    <row r="336" spans="1:1" x14ac:dyDescent="0.3">
      <c r="A336" s="20"/>
    </row>
    <row r="337" spans="1:1" x14ac:dyDescent="0.3">
      <c r="A337" s="20"/>
    </row>
    <row r="338" spans="1:1" x14ac:dyDescent="0.3">
      <c r="A338" s="20"/>
    </row>
    <row r="339" spans="1:1" x14ac:dyDescent="0.3">
      <c r="A339" s="20"/>
    </row>
    <row r="340" spans="1:1" x14ac:dyDescent="0.3">
      <c r="A340" s="20"/>
    </row>
    <row r="341" spans="1:1" x14ac:dyDescent="0.3">
      <c r="A341" s="20"/>
    </row>
    <row r="342" spans="1:1" x14ac:dyDescent="0.3">
      <c r="A342" s="20"/>
    </row>
    <row r="343" spans="1:1" x14ac:dyDescent="0.3">
      <c r="A343" s="20"/>
    </row>
    <row r="344" spans="1:1" x14ac:dyDescent="0.3">
      <c r="A344" s="20"/>
    </row>
    <row r="345" spans="1:1" x14ac:dyDescent="0.3">
      <c r="A345" s="20"/>
    </row>
    <row r="346" spans="1:1" x14ac:dyDescent="0.3">
      <c r="A346" s="20"/>
    </row>
    <row r="347" spans="1:1" x14ac:dyDescent="0.3">
      <c r="A347" s="20"/>
    </row>
    <row r="348" spans="1:1" x14ac:dyDescent="0.3">
      <c r="A348" s="20"/>
    </row>
    <row r="349" spans="1:1" x14ac:dyDescent="0.3">
      <c r="A349" s="20"/>
    </row>
    <row r="350" spans="1:1" x14ac:dyDescent="0.3">
      <c r="A350" s="20"/>
    </row>
    <row r="351" spans="1:1" x14ac:dyDescent="0.3">
      <c r="A351" s="20"/>
    </row>
    <row r="352" spans="1:1" x14ac:dyDescent="0.3">
      <c r="A352" s="20"/>
    </row>
    <row r="353" spans="1:1" x14ac:dyDescent="0.3">
      <c r="A353" s="20"/>
    </row>
    <row r="354" spans="1:1" x14ac:dyDescent="0.3">
      <c r="A354" s="20"/>
    </row>
    <row r="355" spans="1:1" x14ac:dyDescent="0.3">
      <c r="A355" s="20"/>
    </row>
    <row r="356" spans="1:1" x14ac:dyDescent="0.3">
      <c r="A356" s="20"/>
    </row>
    <row r="357" spans="1:1" x14ac:dyDescent="0.3">
      <c r="A357" s="20"/>
    </row>
    <row r="358" spans="1:1" x14ac:dyDescent="0.3">
      <c r="A358" s="20"/>
    </row>
    <row r="359" spans="1:1" x14ac:dyDescent="0.3">
      <c r="A359" s="20"/>
    </row>
    <row r="360" spans="1:1" x14ac:dyDescent="0.3">
      <c r="A360" s="20"/>
    </row>
    <row r="361" spans="1:1" x14ac:dyDescent="0.3">
      <c r="A361" s="20"/>
    </row>
    <row r="362" spans="1:1" x14ac:dyDescent="0.3">
      <c r="A362" s="20"/>
    </row>
    <row r="363" spans="1:1" x14ac:dyDescent="0.3">
      <c r="A363" s="20"/>
    </row>
    <row r="364" spans="1:1" x14ac:dyDescent="0.3">
      <c r="A364" s="20"/>
    </row>
    <row r="365" spans="1:1" x14ac:dyDescent="0.3">
      <c r="A365" s="20"/>
    </row>
    <row r="366" spans="1:1" x14ac:dyDescent="0.3">
      <c r="A366" s="20"/>
    </row>
    <row r="367" spans="1:1" x14ac:dyDescent="0.3">
      <c r="A367" s="20"/>
    </row>
    <row r="368" spans="1:1" x14ac:dyDescent="0.3">
      <c r="A368" s="20"/>
    </row>
    <row r="369" spans="1:1" x14ac:dyDescent="0.3">
      <c r="A369" s="20"/>
    </row>
    <row r="370" spans="1:1" x14ac:dyDescent="0.3">
      <c r="A370" s="20"/>
    </row>
    <row r="371" spans="1:1" x14ac:dyDescent="0.3">
      <c r="A371" s="20"/>
    </row>
    <row r="372" spans="1:1" x14ac:dyDescent="0.3">
      <c r="A372" s="20"/>
    </row>
    <row r="373" spans="1:1" x14ac:dyDescent="0.3">
      <c r="A373" s="20"/>
    </row>
    <row r="374" spans="1:1" x14ac:dyDescent="0.3">
      <c r="A374" s="20"/>
    </row>
    <row r="375" spans="1:1" x14ac:dyDescent="0.3">
      <c r="A375" s="20"/>
    </row>
    <row r="376" spans="1:1" x14ac:dyDescent="0.3">
      <c r="A376" s="20"/>
    </row>
    <row r="377" spans="1:1" x14ac:dyDescent="0.3">
      <c r="A377" s="20"/>
    </row>
    <row r="378" spans="1:1" x14ac:dyDescent="0.3">
      <c r="A378" s="20"/>
    </row>
    <row r="379" spans="1:1" x14ac:dyDescent="0.3">
      <c r="A379" s="20"/>
    </row>
    <row r="380" spans="1:1" x14ac:dyDescent="0.3">
      <c r="A380" s="20"/>
    </row>
    <row r="381" spans="1:1" x14ac:dyDescent="0.3">
      <c r="A381" s="20"/>
    </row>
    <row r="382" spans="1:1" x14ac:dyDescent="0.3">
      <c r="A382" s="20"/>
    </row>
    <row r="383" spans="1:1" x14ac:dyDescent="0.3">
      <c r="A383" s="20"/>
    </row>
    <row r="384" spans="1:1" x14ac:dyDescent="0.3">
      <c r="A384" s="20"/>
    </row>
    <row r="385" spans="1:1" x14ac:dyDescent="0.3">
      <c r="A385" s="20"/>
    </row>
    <row r="386" spans="1:1" x14ac:dyDescent="0.3">
      <c r="A386" s="20"/>
    </row>
    <row r="387" spans="1:1" x14ac:dyDescent="0.3">
      <c r="A387" s="20"/>
    </row>
    <row r="388" spans="1:1" x14ac:dyDescent="0.3">
      <c r="A388" s="20"/>
    </row>
    <row r="389" spans="1:1" x14ac:dyDescent="0.3">
      <c r="A389" s="20"/>
    </row>
    <row r="390" spans="1:1" x14ac:dyDescent="0.3">
      <c r="A390" s="20"/>
    </row>
    <row r="391" spans="1:1" x14ac:dyDescent="0.3">
      <c r="A391" s="20"/>
    </row>
    <row r="392" spans="1:1" x14ac:dyDescent="0.3">
      <c r="A392" s="20"/>
    </row>
    <row r="393" spans="1:1" x14ac:dyDescent="0.3">
      <c r="A393" s="20"/>
    </row>
    <row r="394" spans="1:1" x14ac:dyDescent="0.3">
      <c r="A394" s="20"/>
    </row>
    <row r="395" spans="1:1" x14ac:dyDescent="0.3">
      <c r="A395" s="20"/>
    </row>
    <row r="396" spans="1:1" x14ac:dyDescent="0.3">
      <c r="A396" s="20"/>
    </row>
    <row r="397" spans="1:1" x14ac:dyDescent="0.3">
      <c r="A397" s="20"/>
    </row>
    <row r="398" spans="1:1" x14ac:dyDescent="0.3">
      <c r="A398" s="20"/>
    </row>
    <row r="399" spans="1:1" x14ac:dyDescent="0.3">
      <c r="A399" s="20"/>
    </row>
    <row r="400" spans="1:1" x14ac:dyDescent="0.3">
      <c r="A400" s="20"/>
    </row>
    <row r="401" spans="1:1" x14ac:dyDescent="0.3">
      <c r="A401" s="20"/>
    </row>
    <row r="402" spans="1:1" x14ac:dyDescent="0.3">
      <c r="A402" s="20"/>
    </row>
    <row r="403" spans="1:1" x14ac:dyDescent="0.3">
      <c r="A403" s="20"/>
    </row>
    <row r="404" spans="1:1" x14ac:dyDescent="0.3">
      <c r="A404" s="20"/>
    </row>
    <row r="405" spans="1:1" x14ac:dyDescent="0.3">
      <c r="A405" s="20"/>
    </row>
    <row r="406" spans="1:1" x14ac:dyDescent="0.3">
      <c r="A406" s="20"/>
    </row>
    <row r="407" spans="1:1" x14ac:dyDescent="0.3">
      <c r="A407" s="20"/>
    </row>
    <row r="408" spans="1:1" x14ac:dyDescent="0.3">
      <c r="A408" s="20"/>
    </row>
    <row r="409" spans="1:1" x14ac:dyDescent="0.3">
      <c r="A409" s="20"/>
    </row>
    <row r="410" spans="1:1" x14ac:dyDescent="0.3">
      <c r="A410" s="20"/>
    </row>
    <row r="411" spans="1:1" x14ac:dyDescent="0.3">
      <c r="A411" s="20"/>
    </row>
    <row r="412" spans="1:1" x14ac:dyDescent="0.3">
      <c r="A412" s="20"/>
    </row>
    <row r="413" spans="1:1" x14ac:dyDescent="0.3">
      <c r="A413" s="20"/>
    </row>
    <row r="414" spans="1:1" x14ac:dyDescent="0.3">
      <c r="A414" s="20"/>
    </row>
    <row r="415" spans="1:1" x14ac:dyDescent="0.3">
      <c r="A415" s="20"/>
    </row>
    <row r="416" spans="1:1" x14ac:dyDescent="0.3">
      <c r="A416" s="20"/>
    </row>
    <row r="417" spans="1:1" x14ac:dyDescent="0.3">
      <c r="A417" s="20"/>
    </row>
    <row r="418" spans="1:1" x14ac:dyDescent="0.3">
      <c r="A418" s="20"/>
    </row>
    <row r="419" spans="1:1" x14ac:dyDescent="0.3">
      <c r="A419" s="20"/>
    </row>
    <row r="420" spans="1:1" x14ac:dyDescent="0.3">
      <c r="A420" s="20"/>
    </row>
    <row r="421" spans="1:1" x14ac:dyDescent="0.3">
      <c r="A421" s="20"/>
    </row>
    <row r="422" spans="1:1" x14ac:dyDescent="0.3">
      <c r="A422" s="20"/>
    </row>
    <row r="423" spans="1:1" x14ac:dyDescent="0.3">
      <c r="A423" s="20"/>
    </row>
    <row r="424" spans="1:1" x14ac:dyDescent="0.3">
      <c r="A424" s="20"/>
    </row>
    <row r="425" spans="1:1" x14ac:dyDescent="0.3">
      <c r="A425" s="20"/>
    </row>
    <row r="426" spans="1:1" x14ac:dyDescent="0.3">
      <c r="A426" s="20"/>
    </row>
    <row r="427" spans="1:1" x14ac:dyDescent="0.3">
      <c r="A427" s="20"/>
    </row>
    <row r="428" spans="1:1" x14ac:dyDescent="0.3">
      <c r="A428" s="20"/>
    </row>
    <row r="429" spans="1:1" x14ac:dyDescent="0.3">
      <c r="A429" s="20"/>
    </row>
    <row r="430" spans="1:1" x14ac:dyDescent="0.3">
      <c r="A430" s="20"/>
    </row>
    <row r="431" spans="1:1" x14ac:dyDescent="0.3">
      <c r="A431" s="20"/>
    </row>
    <row r="432" spans="1:1" x14ac:dyDescent="0.3">
      <c r="A432" s="20"/>
    </row>
    <row r="433" spans="1:1" x14ac:dyDescent="0.3">
      <c r="A433" s="20"/>
    </row>
    <row r="434" spans="1:1" x14ac:dyDescent="0.3">
      <c r="A434" s="20"/>
    </row>
    <row r="435" spans="1:1" x14ac:dyDescent="0.3">
      <c r="A435" s="20"/>
    </row>
    <row r="436" spans="1:1" x14ac:dyDescent="0.3">
      <c r="A436" s="20"/>
    </row>
    <row r="437" spans="1:1" x14ac:dyDescent="0.3">
      <c r="A437" s="20"/>
    </row>
    <row r="438" spans="1:1" x14ac:dyDescent="0.3">
      <c r="A438" s="20"/>
    </row>
    <row r="439" spans="1:1" x14ac:dyDescent="0.3">
      <c r="A439" s="20"/>
    </row>
    <row r="440" spans="1:1" x14ac:dyDescent="0.3">
      <c r="A440" s="20"/>
    </row>
    <row r="441" spans="1:1" x14ac:dyDescent="0.3">
      <c r="A441" s="20"/>
    </row>
    <row r="442" spans="1:1" x14ac:dyDescent="0.3">
      <c r="A442" s="20"/>
    </row>
    <row r="443" spans="1:1" x14ac:dyDescent="0.3">
      <c r="A443" s="20"/>
    </row>
    <row r="444" spans="1:1" x14ac:dyDescent="0.3">
      <c r="A444" s="20"/>
    </row>
    <row r="445" spans="1:1" x14ac:dyDescent="0.3">
      <c r="A445" s="20"/>
    </row>
    <row r="446" spans="1:1" x14ac:dyDescent="0.3">
      <c r="A446" s="20"/>
    </row>
    <row r="447" spans="1:1" x14ac:dyDescent="0.3">
      <c r="A447" s="20"/>
    </row>
    <row r="448" spans="1:1" x14ac:dyDescent="0.3">
      <c r="A448" s="20"/>
    </row>
    <row r="449" spans="1:1" x14ac:dyDescent="0.3">
      <c r="A449" s="20"/>
    </row>
    <row r="450" spans="1:1" x14ac:dyDescent="0.3">
      <c r="A450" s="20"/>
    </row>
    <row r="451" spans="1:1" x14ac:dyDescent="0.3">
      <c r="A451" s="20"/>
    </row>
    <row r="452" spans="1:1" x14ac:dyDescent="0.3">
      <c r="A452" s="20"/>
    </row>
    <row r="453" spans="1:1" x14ac:dyDescent="0.3">
      <c r="A453" s="20"/>
    </row>
    <row r="454" spans="1:1" x14ac:dyDescent="0.3">
      <c r="A454" s="20"/>
    </row>
    <row r="455" spans="1:1" x14ac:dyDescent="0.3">
      <c r="A455" s="20"/>
    </row>
    <row r="456" spans="1:1" x14ac:dyDescent="0.3">
      <c r="A456" s="20"/>
    </row>
    <row r="457" spans="1:1" x14ac:dyDescent="0.3">
      <c r="A457" s="20"/>
    </row>
    <row r="458" spans="1:1" x14ac:dyDescent="0.3">
      <c r="A458" s="20"/>
    </row>
    <row r="459" spans="1:1" x14ac:dyDescent="0.3">
      <c r="A459" s="20"/>
    </row>
    <row r="460" spans="1:1" x14ac:dyDescent="0.3">
      <c r="A460" s="20"/>
    </row>
    <row r="461" spans="1:1" x14ac:dyDescent="0.3">
      <c r="A461" s="20"/>
    </row>
    <row r="462" spans="1:1" x14ac:dyDescent="0.3">
      <c r="A462" s="20"/>
    </row>
    <row r="463" spans="1:1" x14ac:dyDescent="0.3">
      <c r="A463" s="20"/>
    </row>
    <row r="464" spans="1:1" x14ac:dyDescent="0.3">
      <c r="A464" s="20"/>
    </row>
    <row r="465" spans="1:1" x14ac:dyDescent="0.3">
      <c r="A465" s="20"/>
    </row>
    <row r="466" spans="1:1" x14ac:dyDescent="0.3">
      <c r="A466" s="20"/>
    </row>
    <row r="467" spans="1:1" x14ac:dyDescent="0.3">
      <c r="A467" s="20"/>
    </row>
    <row r="468" spans="1:1" x14ac:dyDescent="0.3">
      <c r="A468" s="20"/>
    </row>
    <row r="469" spans="1:1" x14ac:dyDescent="0.3">
      <c r="A469" s="20"/>
    </row>
    <row r="470" spans="1:1" x14ac:dyDescent="0.3">
      <c r="A470" s="20"/>
    </row>
    <row r="471" spans="1:1" x14ac:dyDescent="0.3">
      <c r="A471" s="20"/>
    </row>
    <row r="472" spans="1:1" x14ac:dyDescent="0.3">
      <c r="A472" s="20"/>
    </row>
    <row r="473" spans="1:1" x14ac:dyDescent="0.3">
      <c r="A473" s="20"/>
    </row>
    <row r="474" spans="1:1" x14ac:dyDescent="0.3">
      <c r="A474" s="20"/>
    </row>
    <row r="475" spans="1:1" x14ac:dyDescent="0.3">
      <c r="A475" s="20"/>
    </row>
    <row r="476" spans="1:1" x14ac:dyDescent="0.3">
      <c r="A476" s="20"/>
    </row>
    <row r="477" spans="1:1" x14ac:dyDescent="0.3">
      <c r="A477" s="20"/>
    </row>
    <row r="478" spans="1:1" x14ac:dyDescent="0.3">
      <c r="A478" s="20"/>
    </row>
    <row r="479" spans="1:1" x14ac:dyDescent="0.3">
      <c r="A479" s="20"/>
    </row>
    <row r="480" spans="1:1" x14ac:dyDescent="0.3">
      <c r="A480" s="20"/>
    </row>
    <row r="481" spans="1:1" x14ac:dyDescent="0.3">
      <c r="A481" s="20"/>
    </row>
  </sheetData>
  <autoFilter ref="C2:M2" xr:uid="{00000000-0001-0000-0000-000000000000}"/>
  <phoneticPr fontId="1" type="noConversion"/>
  <conditionalFormatting sqref="F3:F100">
    <cfRule type="expression" dxfId="35" priority="4">
      <formula>OR($E3="Purchase",$E3="Sale")</formula>
    </cfRule>
  </conditionalFormatting>
  <conditionalFormatting sqref="G3:G100">
    <cfRule type="expression" dxfId="34" priority="3">
      <formula>$E3="Supply"</formula>
    </cfRule>
  </conditionalFormatting>
  <conditionalFormatting sqref="C3:M100">
    <cfRule type="expression" dxfId="33" priority="1">
      <formula>$E3="Supply"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DD3DF7-D56F-40FC-BA6D-88DB2ECB60BF}">
          <x14:formula1>
            <xm:f>Settings!$D$3:$D$6</xm:f>
          </x14:formula1>
          <xm:sqref>D3:D100</xm:sqref>
        </x14:dataValidation>
        <x14:dataValidation type="list" allowBlank="1" showInputMessage="1" showErrorMessage="1" xr:uid="{CDC32EB2-83A6-45B6-A6BF-5162C806E49C}">
          <x14:formula1>
            <xm:f>Settings!$E$3:$E$5</xm:f>
          </x14:formula1>
          <xm:sqref>E3:E100</xm:sqref>
        </x14:dataValidation>
        <x14:dataValidation type="list" allowBlank="1" showInputMessage="1" showErrorMessage="1" xr:uid="{59677FCD-FD6E-45EA-991E-F0B42BC8388C}">
          <x14:formula1>
            <xm:f>'Stocks sheet'!$D$3:$D$98</xm:f>
          </x14:formula1>
          <xm:sqref>G3:G100</xm:sqref>
        </x14:dataValidation>
        <x14:dataValidation type="list" allowBlank="1" showInputMessage="1" showErrorMessage="1" xr:uid="{E66F2F53-6841-4E6F-9D63-92D44B89AF51}">
          <x14:formula1>
            <xm:f>'Stocks sheet'!$O$3:$O$100</xm:f>
          </x14:formula1>
          <xm:sqref>F3:F100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F6A0-8C36-4958-A97A-B88DB9E3E46C}">
  <sheetPr codeName="Sheet2"/>
  <dimension ref="A1:BJ100"/>
  <sheetViews>
    <sheetView workbookViewId="0">
      <selection activeCell="G3" sqref="G3"/>
    </sheetView>
  </sheetViews>
  <sheetFormatPr defaultRowHeight="14.4" x14ac:dyDescent="0.3"/>
  <cols>
    <col min="1" max="1" width="1.77734375" style="21" customWidth="1"/>
    <col min="2" max="2" width="25.77734375" style="21" customWidth="1"/>
    <col min="3" max="3" width="16.6640625" style="14" bestFit="1" customWidth="1"/>
    <col min="4" max="4" width="16" style="14" bestFit="1" customWidth="1"/>
    <col min="5" max="5" width="23" style="41" bestFit="1" customWidth="1"/>
    <col min="6" max="6" width="19" style="14" bestFit="1" customWidth="1"/>
    <col min="7" max="7" width="12.33203125" style="41" bestFit="1" customWidth="1"/>
    <col min="8" max="9" width="10" style="41" bestFit="1" customWidth="1"/>
    <col min="10" max="10" width="6.6640625" style="14" bestFit="1" customWidth="1"/>
    <col min="11" max="11" width="10.88671875" style="14" bestFit="1" customWidth="1"/>
    <col min="12" max="12" width="7.88671875" style="4" bestFit="1" customWidth="1"/>
    <col min="13" max="13" width="20.6640625" style="4" bestFit="1" customWidth="1"/>
    <col min="14" max="14" width="15.21875" style="4" bestFit="1" customWidth="1"/>
    <col min="15" max="15" width="22.33203125" style="14" bestFit="1" customWidth="1"/>
    <col min="16" max="16" width="29.44140625" style="41" bestFit="1" customWidth="1"/>
    <col min="17" max="17" width="22.33203125" style="41" customWidth="1"/>
    <col min="18" max="18" width="13.33203125" style="4" bestFit="1" customWidth="1"/>
    <col min="19" max="19" width="13.33203125" style="4" customWidth="1"/>
    <col min="20" max="20" width="8.6640625" style="49" bestFit="1" customWidth="1"/>
    <col min="21" max="21" width="5.21875" style="49" bestFit="1" customWidth="1"/>
    <col min="22" max="22" width="13.88671875" style="6" bestFit="1" customWidth="1"/>
    <col min="23" max="23" width="13.33203125" style="4" bestFit="1" customWidth="1"/>
    <col min="24" max="24" width="10.77734375" style="4" bestFit="1" customWidth="1"/>
    <col min="25" max="31" width="4" style="4" bestFit="1" customWidth="1"/>
    <col min="32" max="32" width="12.5546875" style="4" bestFit="1" customWidth="1"/>
    <col min="33" max="33" width="10.77734375" style="4" bestFit="1" customWidth="1"/>
    <col min="34" max="40" width="16.5546875" style="4" bestFit="1" customWidth="1"/>
    <col min="41" max="43" width="10.77734375" style="4" bestFit="1" customWidth="1"/>
    <col min="44" max="44" width="14.77734375" style="4" bestFit="1" customWidth="1"/>
    <col min="45" max="45" width="17.6640625" style="4" bestFit="1" customWidth="1"/>
    <col min="46" max="46" width="14.77734375" style="4" bestFit="1" customWidth="1"/>
    <col min="47" max="47" width="17.6640625" style="4" bestFit="1" customWidth="1"/>
    <col min="48" max="48" width="14.77734375" style="4" bestFit="1" customWidth="1"/>
    <col min="49" max="49" width="17.6640625" style="4" bestFit="1" customWidth="1"/>
    <col min="50" max="50" width="14.77734375" style="4" bestFit="1" customWidth="1"/>
    <col min="51" max="51" width="17.6640625" style="4" bestFit="1" customWidth="1"/>
    <col min="52" max="52" width="18.109375" style="4" bestFit="1" customWidth="1"/>
    <col min="53" max="53" width="20.88671875" style="4" bestFit="1" customWidth="1"/>
    <col min="54" max="54" width="18.109375" style="4" bestFit="1" customWidth="1"/>
    <col min="55" max="55" width="20.88671875" style="4" bestFit="1" customWidth="1"/>
    <col min="56" max="56" width="18.109375" style="4" bestFit="1" customWidth="1"/>
    <col min="57" max="57" width="20.88671875" style="4" bestFit="1" customWidth="1"/>
    <col min="58" max="58" width="18.109375" style="4" bestFit="1" customWidth="1"/>
    <col min="59" max="59" width="20.88671875" style="4" bestFit="1" customWidth="1"/>
    <col min="60" max="60" width="9" style="4" bestFit="1" customWidth="1"/>
    <col min="61" max="61" width="11.6640625" style="4" bestFit="1" customWidth="1"/>
    <col min="62" max="62" width="10.77734375" style="19" bestFit="1" customWidth="1"/>
    <col min="63" max="16384" width="8.88671875" style="4"/>
  </cols>
  <sheetData>
    <row r="1" spans="1:23" ht="15" thickBot="1" x14ac:dyDescent="0.35">
      <c r="A1" s="20"/>
      <c r="B1" s="20"/>
      <c r="C1" s="4"/>
      <c r="D1" s="4"/>
      <c r="E1" s="5"/>
      <c r="F1" s="4"/>
      <c r="G1" s="5"/>
      <c r="H1" s="5"/>
      <c r="I1" s="5"/>
      <c r="J1" s="4"/>
      <c r="K1" s="4"/>
      <c r="O1" s="4"/>
      <c r="P1" s="5"/>
      <c r="Q1" s="5"/>
      <c r="T1" s="6"/>
      <c r="U1" s="6"/>
    </row>
    <row r="2" spans="1:23" ht="15" thickBot="1" x14ac:dyDescent="0.35">
      <c r="A2" s="20"/>
      <c r="B2" s="35"/>
      <c r="C2" s="1" t="s">
        <v>10</v>
      </c>
      <c r="D2" s="1" t="s">
        <v>11</v>
      </c>
      <c r="E2" s="2" t="s">
        <v>12</v>
      </c>
      <c r="F2" s="1" t="s">
        <v>15</v>
      </c>
      <c r="G2" s="2" t="s">
        <v>32</v>
      </c>
      <c r="H2" s="2" t="s">
        <v>33</v>
      </c>
      <c r="I2" s="2" t="s">
        <v>29</v>
      </c>
      <c r="J2" s="1" t="s">
        <v>6</v>
      </c>
      <c r="K2" s="1" t="s">
        <v>7</v>
      </c>
      <c r="L2" s="1" t="s">
        <v>18</v>
      </c>
      <c r="M2" s="1" t="s">
        <v>13</v>
      </c>
      <c r="N2" s="1" t="s">
        <v>14</v>
      </c>
      <c r="O2" s="1" t="s">
        <v>42</v>
      </c>
      <c r="P2" s="2" t="s">
        <v>46</v>
      </c>
      <c r="Q2" s="2" t="s">
        <v>44</v>
      </c>
      <c r="R2" s="1" t="s">
        <v>47</v>
      </c>
      <c r="S2" s="1" t="s">
        <v>49</v>
      </c>
      <c r="T2" s="3" t="s">
        <v>7</v>
      </c>
      <c r="U2" s="3" t="s">
        <v>48</v>
      </c>
      <c r="V2" s="3" t="s">
        <v>50</v>
      </c>
      <c r="W2" s="1" t="s">
        <v>43</v>
      </c>
    </row>
    <row r="3" spans="1:23" ht="15" thickBot="1" x14ac:dyDescent="0.35">
      <c r="A3" s="20"/>
      <c r="B3" s="36"/>
      <c r="C3" s="8" t="s">
        <v>3</v>
      </c>
      <c r="D3" s="8" t="s">
        <v>52</v>
      </c>
      <c r="E3" s="9">
        <v>100</v>
      </c>
      <c r="F3" s="8">
        <v>2</v>
      </c>
      <c r="G3" s="17">
        <f>IF(D3="","",SUMIFS('Data entry'!$K$3:$K$1000,'Data entry'!$E$3:$E$1000,"Purchase",'Data entry'!$G$3:$G$1000,D3))</f>
        <v>1000</v>
      </c>
      <c r="H3" s="17">
        <f>IF(D3="","",SUMIFS('Data entry'!$K$3:$K$1000,'Data entry'!$E$3:$E$1000,"Sale",'Data entry'!$G$3:$G$1000,D3))</f>
        <v>0</v>
      </c>
      <c r="I3" s="17">
        <f>IF(D3="","",SUMIFS('Data entry'!$K$3:$K$1000,'Data entry'!$E$3:$E$1000,"Sale",'Data entry'!$G$3:$G$1000,D3)-SUMIFS('Data entry'!$K$3:$K$1000,'Data entry'!$E$3:$E$1000,"Purchase",'Data entry'!$G$3:$G$1000,D3))</f>
        <v>-1000</v>
      </c>
      <c r="J3" s="16">
        <f>IF(D3="","",SUMIFS('Data entry'!$J$3:$J$1000,'Data entry'!$E$3:$E$1000,"Sale",'Data entry'!$G$3:$G$1000,D3))</f>
        <v>0</v>
      </c>
      <c r="K3" s="16">
        <f>IF(D3="","",SUMIFS('Data entry'!$J$3:$J$1000,'Data entry'!$E$3:$E$1000,"Purchase",'Data entry'!$G$3:$G$1000,D3))</f>
        <v>10</v>
      </c>
      <c r="L3" s="16">
        <f t="shared" ref="L3:L34" si="0">IFERROR(F3+K3-J3,"")</f>
        <v>12</v>
      </c>
      <c r="M3" s="8">
        <v>2</v>
      </c>
      <c r="N3" s="16" t="str">
        <f>IF(L3="","",IF(L3&lt;M3,"Out of stock",IF(L3&gt;(M3+3),"In stock","Stock running out")))</f>
        <v>In stock</v>
      </c>
      <c r="O3" s="44" t="s">
        <v>37</v>
      </c>
      <c r="P3" s="45">
        <v>20</v>
      </c>
      <c r="Q3" s="46">
        <f>T3*P3</f>
        <v>0</v>
      </c>
      <c r="R3" s="46">
        <f>IF(P3="","",P3*U3)</f>
        <v>40</v>
      </c>
      <c r="S3" s="46">
        <f>Q3-R3</f>
        <v>-40</v>
      </c>
      <c r="T3" s="47">
        <f>IF(O3="","",SUMIFS('Data entry'!$J$3:$J$1000,'Data entry'!$E$3:$E$1000,"Supply",'Data entry'!$F$3:$F$1000,O3))</f>
        <v>0</v>
      </c>
      <c r="U3" s="48">
        <v>2</v>
      </c>
      <c r="V3" s="48">
        <f>IF(T3="","",T3-U3)</f>
        <v>-2</v>
      </c>
      <c r="W3" s="43" t="str">
        <f>IF(O3="","",IF(V3&gt;0,"In stock","Out of stock"))</f>
        <v>Out of stock</v>
      </c>
    </row>
    <row r="4" spans="1:23" ht="15" thickBot="1" x14ac:dyDescent="0.35">
      <c r="A4" s="20"/>
      <c r="B4" s="36"/>
      <c r="C4" s="8" t="s">
        <v>3</v>
      </c>
      <c r="D4" s="8" t="s">
        <v>53</v>
      </c>
      <c r="E4" s="9">
        <v>200</v>
      </c>
      <c r="F4" s="8">
        <v>20</v>
      </c>
      <c r="G4" s="17">
        <f>IF(D4="","",SUMIFS('Data entry'!$K$3:$K$1000,'Data entry'!$E$3:$E$1000,"Purchase",'Data entry'!$G$3:$G$1000,D4))</f>
        <v>3000</v>
      </c>
      <c r="H4" s="17">
        <f>IF(D4="","",SUMIFS('Data entry'!$K$3:$K$1000,'Data entry'!$E$3:$E$1000,"Sale",'Data entry'!$G$3:$G$1000,D4))</f>
        <v>4800</v>
      </c>
      <c r="I4" s="17">
        <f>IF(D4="","",SUMIFS('Data entry'!$K$3:$K$1000,'Data entry'!$E$3:$E$1000,"Sale",'Data entry'!$G$3:$G$1000,D4)-SUMIFS('Data entry'!$K$3:$K$1000,'Data entry'!$E$3:$E$1000,"Purchase",'Data entry'!$G$3:$G$1000,D4))</f>
        <v>1800</v>
      </c>
      <c r="J4" s="16">
        <f>IF(D4="","",SUMIFS('Data entry'!$J$3:$J$1000,'Data entry'!$E$3:$E$1000,"Sale",'Data entry'!$G$3:$G$1000,D4))</f>
        <v>24</v>
      </c>
      <c r="K4" s="16">
        <f>IF(D4="","",SUMIFS('Data entry'!$J$3:$J$1000,'Data entry'!$E$3:$E$1000,"Purchase",'Data entry'!$G$3:$G$1000,D4))</f>
        <v>15</v>
      </c>
      <c r="L4" s="16">
        <f t="shared" si="0"/>
        <v>11</v>
      </c>
      <c r="M4" s="8">
        <v>2</v>
      </c>
      <c r="N4" s="16" t="str">
        <f t="shared" ref="N4:N67" si="1">IF(L4="","",IF(L4&lt;M4,"Out of stock",IF(L4&gt;(M4+3),"In stock","Stock running out")))</f>
        <v>In stock</v>
      </c>
      <c r="O4" s="44" t="s">
        <v>41</v>
      </c>
      <c r="P4" s="45">
        <v>20</v>
      </c>
      <c r="Q4" s="46">
        <f>IF(O4="","",SUMIFS('Data entry'!$K$3:$K$1000,'Data entry'!$E$3:$E$1000,"Supply",'Data entry'!$G$3:$G$1000,O4))</f>
        <v>0</v>
      </c>
      <c r="R4" s="46">
        <f t="shared" ref="R4:R67" si="2">IF(P4="","",P4*U4)</f>
        <v>60</v>
      </c>
      <c r="S4" s="43"/>
      <c r="T4" s="47">
        <f>IF(O4="","",SUMIFS('Data entry'!$J$3:$J$1000,'Data entry'!$E$3:$E$1000,"Supply",'Data entry'!$F$3:$F$1000,O4))</f>
        <v>27</v>
      </c>
      <c r="U4" s="48">
        <v>3</v>
      </c>
      <c r="V4" s="48">
        <f>IF(T4="","",T4-U4)</f>
        <v>24</v>
      </c>
      <c r="W4" s="43" t="str">
        <f t="shared" ref="W4:W67" si="3">IF(O4="","",IF(V4&gt;0,"In stock","Out of stock"))</f>
        <v>In stock</v>
      </c>
    </row>
    <row r="5" spans="1:23" ht="15" thickBot="1" x14ac:dyDescent="0.35">
      <c r="A5" s="20"/>
      <c r="B5" s="36"/>
      <c r="C5" s="8" t="s">
        <v>3</v>
      </c>
      <c r="D5" s="8" t="s">
        <v>54</v>
      </c>
      <c r="E5" s="9">
        <v>300</v>
      </c>
      <c r="F5" s="8">
        <v>3</v>
      </c>
      <c r="G5" s="17">
        <f>IF(D5="","",SUMIFS('Data entry'!$K$3:$K$1000,'Data entry'!$E$3:$E$1000,"Purchase",'Data entry'!$G$3:$G$1000,D5))</f>
        <v>0</v>
      </c>
      <c r="H5" s="17">
        <f>IF(D5="","",SUMIFS('Data entry'!$K$3:$K$1000,'Data entry'!$E$3:$E$1000,"Sale",'Data entry'!$G$3:$G$1000,D5))</f>
        <v>10800</v>
      </c>
      <c r="I5" s="17">
        <f>IF(D5="","",SUMIFS('Data entry'!$K$3:$K$1000,'Data entry'!$E$3:$E$1000,"Sale",'Data entry'!$G$3:$G$1000,D5)-SUMIFS('Data entry'!$K$3:$K$1000,'Data entry'!$E$3:$E$1000,"Purchase",'Data entry'!$G$3:$G$1000,D5))</f>
        <v>10800</v>
      </c>
      <c r="J5" s="16">
        <f>IF(D5="","",SUMIFS('Data entry'!$J$3:$J$1000,'Data entry'!$E$3:$E$1000,"Sale",'Data entry'!$G$3:$G$1000,D5))</f>
        <v>36</v>
      </c>
      <c r="K5" s="16">
        <f>IF(D5="","",SUMIFS('Data entry'!$J$3:$J$1000,'Data entry'!$E$3:$E$1000,"Purchase",'Data entry'!$G$3:$G$1000,D5))</f>
        <v>0</v>
      </c>
      <c r="L5" s="16">
        <f t="shared" si="0"/>
        <v>-33</v>
      </c>
      <c r="M5" s="8">
        <v>2</v>
      </c>
      <c r="N5" s="16" t="str">
        <f t="shared" si="1"/>
        <v>Out of stock</v>
      </c>
      <c r="O5" s="44" t="s">
        <v>38</v>
      </c>
      <c r="P5" s="45">
        <v>20</v>
      </c>
      <c r="Q5" s="46">
        <f>IF(O5="","",SUMIFS('Data entry'!$K$3:$K$1000,'Data entry'!$E$3:$E$1000,"Supply",'Data entry'!$G$3:$G$1000,O5))</f>
        <v>0</v>
      </c>
      <c r="R5" s="46">
        <f t="shared" si="2"/>
        <v>0</v>
      </c>
      <c r="S5" s="43"/>
      <c r="T5" s="47">
        <f>IF(O5="","",SUMIFS('Data entry'!$J$3:$J$1000,'Data entry'!$E$3:$E$1000,"Supply",'Data entry'!$F$3:$F$1000,O5))</f>
        <v>0</v>
      </c>
      <c r="U5" s="48">
        <v>0</v>
      </c>
      <c r="V5" s="48">
        <f t="shared" ref="V5:V68" si="4">IF(T5="","",T5-U5)</f>
        <v>0</v>
      </c>
      <c r="W5" s="43" t="str">
        <f t="shared" si="3"/>
        <v>Out of stock</v>
      </c>
    </row>
    <row r="6" spans="1:23" ht="15" thickBot="1" x14ac:dyDescent="0.35">
      <c r="A6" s="20"/>
      <c r="B6" s="36"/>
      <c r="C6" s="8" t="s">
        <v>3</v>
      </c>
      <c r="D6" s="8" t="s">
        <v>55</v>
      </c>
      <c r="E6" s="9">
        <v>400</v>
      </c>
      <c r="F6" s="8">
        <v>13</v>
      </c>
      <c r="G6" s="17">
        <f>IF(D6="","",SUMIFS('Data entry'!$K$3:$K$1000,'Data entry'!$E$3:$E$1000,"Purchase",'Data entry'!$G$3:$G$1000,D6))</f>
        <v>0</v>
      </c>
      <c r="H6" s="17">
        <f>IF(D6="","",SUMIFS('Data entry'!$K$3:$K$1000,'Data entry'!$E$3:$E$1000,"Sale",'Data entry'!$G$3:$G$1000,D6))</f>
        <v>0</v>
      </c>
      <c r="I6" s="17">
        <f>IF(D6="","",SUMIFS('Data entry'!$K$3:$K$1000,'Data entry'!$E$3:$E$1000,"Sale",'Data entry'!$G$3:$G$1000,D6)-SUMIFS('Data entry'!$K$3:$K$1000,'Data entry'!$E$3:$E$1000,"Purchase",'Data entry'!$G$3:$G$1000,D6))</f>
        <v>0</v>
      </c>
      <c r="J6" s="16">
        <f>IF(D6="","",SUMIFS('Data entry'!$J$3:$J$1000,'Data entry'!$E$3:$E$1000,"Sale",'Data entry'!$G$3:$G$1000,D6))</f>
        <v>0</v>
      </c>
      <c r="K6" s="16">
        <f>IF(D6="","",SUMIFS('Data entry'!$J$3:$J$1000,'Data entry'!$E$3:$E$1000,"Purchase",'Data entry'!$G$3:$G$1000,D6))</f>
        <v>0</v>
      </c>
      <c r="L6" s="16">
        <f t="shared" si="0"/>
        <v>13</v>
      </c>
      <c r="M6" s="8">
        <v>2</v>
      </c>
      <c r="N6" s="16" t="str">
        <f t="shared" si="1"/>
        <v>In stock</v>
      </c>
      <c r="O6" s="44" t="s">
        <v>39</v>
      </c>
      <c r="P6" s="45">
        <v>20</v>
      </c>
      <c r="Q6" s="46">
        <f>IF(O6="","",SUMIFS('Data entry'!$K$3:$K$1000,'Data entry'!$E$3:$E$1000,"Supply",'Data entry'!$G$3:$G$1000,O6))</f>
        <v>0</v>
      </c>
      <c r="R6" s="46">
        <f t="shared" si="2"/>
        <v>20</v>
      </c>
      <c r="S6" s="43"/>
      <c r="T6" s="47">
        <f>IF(O6="","",SUMIFS('Data entry'!$J$3:$J$1000,'Data entry'!$E$3:$E$1000,"Supply",'Data entry'!$F$3:$F$1000,O6))</f>
        <v>0</v>
      </c>
      <c r="U6" s="48">
        <v>1</v>
      </c>
      <c r="V6" s="48">
        <f t="shared" si="4"/>
        <v>-1</v>
      </c>
      <c r="W6" s="43" t="str">
        <f t="shared" si="3"/>
        <v>Out of stock</v>
      </c>
    </row>
    <row r="7" spans="1:23" ht="15" thickBot="1" x14ac:dyDescent="0.35">
      <c r="A7" s="20"/>
      <c r="B7" s="36"/>
      <c r="C7" s="8" t="s">
        <v>3</v>
      </c>
      <c r="D7" s="8" t="s">
        <v>56</v>
      </c>
      <c r="E7" s="9">
        <v>500</v>
      </c>
      <c r="F7" s="8">
        <v>20</v>
      </c>
      <c r="G7" s="17">
        <f>IF(D7="","",SUMIFS('Data entry'!$K$3:$K$1000,'Data entry'!$E$3:$E$1000,"Purchase",'Data entry'!$G$3:$G$1000,D7))</f>
        <v>0</v>
      </c>
      <c r="H7" s="17">
        <f>IF(D7="","",SUMIFS('Data entry'!$K$3:$K$1000,'Data entry'!$E$3:$E$1000,"Sale",'Data entry'!$G$3:$G$1000,D7))</f>
        <v>11500</v>
      </c>
      <c r="I7" s="17">
        <f>IF(D7="","",SUMIFS('Data entry'!$K$3:$K$1000,'Data entry'!$E$3:$E$1000,"Sale",'Data entry'!$G$3:$G$1000,D7)-SUMIFS('Data entry'!$K$3:$K$1000,'Data entry'!$E$3:$E$1000,"Purchase",'Data entry'!$G$3:$G$1000,D7))</f>
        <v>11500</v>
      </c>
      <c r="J7" s="16">
        <f>IF(D7="","",SUMIFS('Data entry'!$J$3:$J$1000,'Data entry'!$E$3:$E$1000,"Sale",'Data entry'!$G$3:$G$1000,D7))</f>
        <v>23</v>
      </c>
      <c r="K7" s="16">
        <f>IF(D7="","",SUMIFS('Data entry'!$J$3:$J$1000,'Data entry'!$E$3:$E$1000,"Purchase",'Data entry'!$G$3:$G$1000,D7))</f>
        <v>0</v>
      </c>
      <c r="L7" s="16">
        <f t="shared" si="0"/>
        <v>-3</v>
      </c>
      <c r="M7" s="8">
        <v>2</v>
      </c>
      <c r="N7" s="16" t="str">
        <f t="shared" si="1"/>
        <v>Out of stock</v>
      </c>
      <c r="O7" s="44" t="s">
        <v>40</v>
      </c>
      <c r="P7" s="45">
        <v>20</v>
      </c>
      <c r="Q7" s="46">
        <f>IF(O7="","",SUMIFS('Data entry'!$K$3:$K$1000,'Data entry'!$E$3:$E$1000,"Supply",'Data entry'!$G$3:$G$1000,O7))</f>
        <v>0</v>
      </c>
      <c r="R7" s="46">
        <f t="shared" si="2"/>
        <v>40</v>
      </c>
      <c r="S7" s="43"/>
      <c r="T7" s="47">
        <f>IF(O7="","",SUMIFS('Data entry'!$J$3:$J$1000,'Data entry'!$E$3:$E$1000,"Supply",'Data entry'!$F$3:$F$1000,O7))</f>
        <v>0</v>
      </c>
      <c r="U7" s="48">
        <v>2</v>
      </c>
      <c r="V7" s="48">
        <f t="shared" si="4"/>
        <v>-2</v>
      </c>
      <c r="W7" s="43" t="str">
        <f t="shared" si="3"/>
        <v>Out of stock</v>
      </c>
    </row>
    <row r="8" spans="1:23" ht="15" thickBot="1" x14ac:dyDescent="0.35">
      <c r="A8" s="20"/>
      <c r="B8" s="36"/>
      <c r="C8" s="8" t="s">
        <v>3</v>
      </c>
      <c r="D8" s="8" t="s">
        <v>57</v>
      </c>
      <c r="E8" s="9">
        <v>600</v>
      </c>
      <c r="F8" s="8">
        <v>26</v>
      </c>
      <c r="G8" s="17">
        <f>IF(D8="","",SUMIFS('Data entry'!$K$3:$K$1000,'Data entry'!$E$3:$E$1000,"Purchase",'Data entry'!$G$3:$G$1000,D8))</f>
        <v>0</v>
      </c>
      <c r="H8" s="17">
        <f>IF(D8="","",SUMIFS('Data entry'!$K$3:$K$1000,'Data entry'!$E$3:$E$1000,"Sale",'Data entry'!$G$3:$G$1000,D8))</f>
        <v>0</v>
      </c>
      <c r="I8" s="17">
        <f>IF(D8="","",SUMIFS('Data entry'!$K$3:$K$1000,'Data entry'!$E$3:$E$1000,"Sale",'Data entry'!$G$3:$G$1000,D8)-SUMIFS('Data entry'!$K$3:$K$1000,'Data entry'!$E$3:$E$1000,"Purchase",'Data entry'!$G$3:$G$1000,D8))</f>
        <v>0</v>
      </c>
      <c r="J8" s="16">
        <f>IF(D8="","",SUMIFS('Data entry'!$J$3:$J$1000,'Data entry'!$E$3:$E$1000,"Sale",'Data entry'!$G$3:$G$1000,D8))</f>
        <v>0</v>
      </c>
      <c r="K8" s="16">
        <f>IF(D8="","",SUMIFS('Data entry'!$J$3:$J$1000,'Data entry'!$E$3:$E$1000,"Purchase",'Data entry'!$G$3:$G$1000,D8))</f>
        <v>0</v>
      </c>
      <c r="L8" s="16">
        <f t="shared" si="0"/>
        <v>26</v>
      </c>
      <c r="M8" s="8">
        <v>2</v>
      </c>
      <c r="N8" s="16" t="str">
        <f t="shared" si="1"/>
        <v>In stock</v>
      </c>
      <c r="O8" s="43" t="s">
        <v>51</v>
      </c>
      <c r="P8" s="46">
        <v>15</v>
      </c>
      <c r="Q8" s="46">
        <f>IF(O8="","",SUMIFS('Data entry'!$K$3:$K$1000,'Data entry'!$E$3:$E$1000,"Supply",'Data entry'!$G$3:$G$1000,O8))</f>
        <v>0</v>
      </c>
      <c r="R8" s="46">
        <f t="shared" si="2"/>
        <v>0</v>
      </c>
      <c r="S8" s="43"/>
      <c r="T8" s="47">
        <f>IF(O8="","",SUMIFS('Data entry'!$J$3:$J$1000,'Data entry'!$E$3:$E$1000,"Supply",'Data entry'!$F$3:$F$1000,O8))</f>
        <v>25</v>
      </c>
      <c r="U8" s="48"/>
      <c r="V8" s="48">
        <f t="shared" si="4"/>
        <v>25</v>
      </c>
      <c r="W8" s="43" t="str">
        <f t="shared" si="3"/>
        <v>In stock</v>
      </c>
    </row>
    <row r="9" spans="1:23" ht="15" thickBot="1" x14ac:dyDescent="0.35">
      <c r="A9" s="20"/>
      <c r="B9" s="36"/>
      <c r="C9" s="8" t="s">
        <v>3</v>
      </c>
      <c r="D9" s="8" t="s">
        <v>58</v>
      </c>
      <c r="E9" s="9">
        <v>700</v>
      </c>
      <c r="F9" s="8">
        <v>29</v>
      </c>
      <c r="G9" s="17">
        <f>IF(D9="","",SUMIFS('Data entry'!$K$3:$K$1000,'Data entry'!$E$3:$E$1000,"Purchase",'Data entry'!$G$3:$G$1000,D9))</f>
        <v>0</v>
      </c>
      <c r="H9" s="17">
        <f>IF(D9="","",SUMIFS('Data entry'!$K$3:$K$1000,'Data entry'!$E$3:$E$1000,"Sale",'Data entry'!$G$3:$G$1000,D9))</f>
        <v>10500</v>
      </c>
      <c r="I9" s="17">
        <f>IF(D9="","",SUMIFS('Data entry'!$K$3:$K$1000,'Data entry'!$E$3:$E$1000,"Sale",'Data entry'!$G$3:$G$1000,D9)-SUMIFS('Data entry'!$K$3:$K$1000,'Data entry'!$E$3:$E$1000,"Purchase",'Data entry'!$G$3:$G$1000,D9))</f>
        <v>10500</v>
      </c>
      <c r="J9" s="16">
        <f>IF(D9="","",SUMIFS('Data entry'!$J$3:$J$1000,'Data entry'!$E$3:$E$1000,"Sale",'Data entry'!$G$3:$G$1000,D9))</f>
        <v>15</v>
      </c>
      <c r="K9" s="16">
        <f>IF(D9="","",SUMIFS('Data entry'!$J$3:$J$1000,'Data entry'!$E$3:$E$1000,"Purchase",'Data entry'!$G$3:$G$1000,D9))</f>
        <v>0</v>
      </c>
      <c r="L9" s="16">
        <f t="shared" si="0"/>
        <v>14</v>
      </c>
      <c r="M9" s="8">
        <v>2</v>
      </c>
      <c r="N9" s="16" t="str">
        <f t="shared" si="1"/>
        <v>In stock</v>
      </c>
      <c r="O9" s="43"/>
      <c r="P9" s="46"/>
      <c r="Q9" s="46" t="str">
        <f>IF(O9="","",SUMIFS('Data entry'!$K$3:$K$1000,'Data entry'!$E$3:$E$1000,"Supply",'Data entry'!$G$3:$G$1000,O9))</f>
        <v/>
      </c>
      <c r="R9" s="46" t="str">
        <f t="shared" si="2"/>
        <v/>
      </c>
      <c r="S9" s="43"/>
      <c r="T9" s="47" t="str">
        <f>IF(O9="","",SUMIFS('Data entry'!$J$3:$J$1000,'Data entry'!$E$3:$E$1000,"Supply",'Data entry'!$F$3:$F$1000,O9))</f>
        <v/>
      </c>
      <c r="U9" s="48"/>
      <c r="V9" s="48" t="str">
        <f t="shared" si="4"/>
        <v/>
      </c>
      <c r="W9" s="43" t="str">
        <f t="shared" si="3"/>
        <v/>
      </c>
    </row>
    <row r="10" spans="1:23" ht="15" thickBot="1" x14ac:dyDescent="0.35">
      <c r="A10" s="20"/>
      <c r="B10" s="36"/>
      <c r="C10" s="8" t="s">
        <v>3</v>
      </c>
      <c r="D10" s="8" t="s">
        <v>59</v>
      </c>
      <c r="E10" s="9">
        <v>800</v>
      </c>
      <c r="F10" s="8">
        <v>24</v>
      </c>
      <c r="G10" s="17">
        <f>IF(D10="","",SUMIFS('Data entry'!$K$3:$K$1000,'Data entry'!$E$3:$E$1000,"Purchase",'Data entry'!$G$3:$G$1000,D10))</f>
        <v>0</v>
      </c>
      <c r="H10" s="17">
        <f>IF(D10="","",SUMIFS('Data entry'!$K$3:$K$1000,'Data entry'!$E$3:$E$1000,"Sale",'Data entry'!$G$3:$G$1000,D10))</f>
        <v>0</v>
      </c>
      <c r="I10" s="17">
        <f>IF(D10="","",SUMIFS('Data entry'!$K$3:$K$1000,'Data entry'!$E$3:$E$1000,"Sale",'Data entry'!$G$3:$G$1000,D10)-SUMIFS('Data entry'!$K$3:$K$1000,'Data entry'!$E$3:$E$1000,"Purchase",'Data entry'!$G$3:$G$1000,D10))</f>
        <v>0</v>
      </c>
      <c r="J10" s="16">
        <f>IF(D10="","",SUMIFS('Data entry'!$J$3:$J$1000,'Data entry'!$E$3:$E$1000,"Sale",'Data entry'!$G$3:$G$1000,D10))</f>
        <v>0</v>
      </c>
      <c r="K10" s="16">
        <f>IF(D10="","",SUMIFS('Data entry'!$J$3:$J$1000,'Data entry'!$E$3:$E$1000,"Purchase",'Data entry'!$G$3:$G$1000,D10))</f>
        <v>0</v>
      </c>
      <c r="L10" s="16">
        <f t="shared" si="0"/>
        <v>24</v>
      </c>
      <c r="M10" s="8">
        <v>2</v>
      </c>
      <c r="N10" s="16" t="str">
        <f t="shared" si="1"/>
        <v>In stock</v>
      </c>
      <c r="O10" s="43"/>
      <c r="P10" s="46"/>
      <c r="Q10" s="46" t="str">
        <f>IF(O10="","",SUMIFS('Data entry'!$K$3:$K$1000,'Data entry'!$E$3:$E$1000,"Supply",'Data entry'!$G$3:$G$1000,O10))</f>
        <v/>
      </c>
      <c r="R10" s="46" t="str">
        <f t="shared" si="2"/>
        <v/>
      </c>
      <c r="S10" s="43"/>
      <c r="T10" s="47" t="str">
        <f>IF(O10="","",SUMIFS('Data entry'!$J$3:$J$1000,'Data entry'!$E$3:$E$1000,"Supply",'Data entry'!$F$3:$F$1000,O10))</f>
        <v/>
      </c>
      <c r="U10" s="48"/>
      <c r="V10" s="48" t="str">
        <f t="shared" si="4"/>
        <v/>
      </c>
      <c r="W10" s="43" t="str">
        <f t="shared" si="3"/>
        <v/>
      </c>
    </row>
    <row r="11" spans="1:23" ht="15" thickBot="1" x14ac:dyDescent="0.35">
      <c r="A11" s="20"/>
      <c r="B11" s="36"/>
      <c r="C11" s="8" t="s">
        <v>3</v>
      </c>
      <c r="D11" s="8" t="s">
        <v>60</v>
      </c>
      <c r="E11" s="9">
        <v>900</v>
      </c>
      <c r="F11" s="8">
        <v>21</v>
      </c>
      <c r="G11" s="17">
        <f>IF(D11="","",SUMIFS('Data entry'!$K$3:$K$1000,'Data entry'!$E$3:$E$1000,"Purchase",'Data entry'!$G$3:$G$1000,D11))</f>
        <v>13500</v>
      </c>
      <c r="H11" s="17">
        <f>IF(D11="","",SUMIFS('Data entry'!$K$3:$K$1000,'Data entry'!$E$3:$E$1000,"Sale",'Data entry'!$G$3:$G$1000,D11))</f>
        <v>0</v>
      </c>
      <c r="I11" s="17">
        <f>IF(D11="","",SUMIFS('Data entry'!$K$3:$K$1000,'Data entry'!$E$3:$E$1000,"Sale",'Data entry'!$G$3:$G$1000,D11)-SUMIFS('Data entry'!$K$3:$K$1000,'Data entry'!$E$3:$E$1000,"Purchase",'Data entry'!$G$3:$G$1000,D11))</f>
        <v>-13500</v>
      </c>
      <c r="J11" s="16">
        <f>IF(D11="","",SUMIFS('Data entry'!$J$3:$J$1000,'Data entry'!$E$3:$E$1000,"Sale",'Data entry'!$G$3:$G$1000,D11))</f>
        <v>0</v>
      </c>
      <c r="K11" s="16">
        <f>IF(D11="","",SUMIFS('Data entry'!$J$3:$J$1000,'Data entry'!$E$3:$E$1000,"Purchase",'Data entry'!$G$3:$G$1000,D11))</f>
        <v>15</v>
      </c>
      <c r="L11" s="16">
        <f t="shared" si="0"/>
        <v>36</v>
      </c>
      <c r="M11" s="8">
        <v>2</v>
      </c>
      <c r="N11" s="16" t="str">
        <f t="shared" si="1"/>
        <v>In stock</v>
      </c>
      <c r="O11" s="43"/>
      <c r="P11" s="46"/>
      <c r="Q11" s="46" t="str">
        <f>IF(O11="","",SUMIFS('Data entry'!$K$3:$K$1000,'Data entry'!$E$3:$E$1000,"Supply",'Data entry'!$G$3:$G$1000,O11))</f>
        <v/>
      </c>
      <c r="R11" s="46" t="str">
        <f t="shared" si="2"/>
        <v/>
      </c>
      <c r="S11" s="43"/>
      <c r="T11" s="47" t="str">
        <f>IF(O11="","",SUMIFS('Data entry'!$J$3:$J$1000,'Data entry'!$E$3:$E$1000,"Supply",'Data entry'!$F$3:$F$1000,O11))</f>
        <v/>
      </c>
      <c r="U11" s="48"/>
      <c r="V11" s="48" t="str">
        <f t="shared" si="4"/>
        <v/>
      </c>
      <c r="W11" s="43" t="str">
        <f t="shared" si="3"/>
        <v/>
      </c>
    </row>
    <row r="12" spans="1:23" ht="15" thickBot="1" x14ac:dyDescent="0.35">
      <c r="A12" s="20"/>
      <c r="B12" s="36"/>
      <c r="C12" s="15"/>
      <c r="D12" s="15"/>
      <c r="E12" s="42"/>
      <c r="F12" s="15"/>
      <c r="G12" s="17" t="str">
        <f>IF(D12="","",SUMIFS('Data entry'!$K$3:$K$1000,'Data entry'!$E$3:$E$1000,"Purchase",'Data entry'!$G$3:$G$1000,D12))</f>
        <v/>
      </c>
      <c r="H12" s="17" t="str">
        <f>IF(D12="","",SUMIFS('Data entry'!$K$3:$K$1000,'Data entry'!$E$3:$E$1000,"Sale",'Data entry'!$G$3:$G$1000,D12))</f>
        <v/>
      </c>
      <c r="I12" s="17" t="str">
        <f>IF(D12="","",SUMIFS('Data entry'!$K$3:$K$1000,'Data entry'!$E$3:$E$1000,"Sale",'Data entry'!$G$3:$G$1000,D12)-SUMIFS('Data entry'!$K$3:$K$1000,'Data entry'!$E$3:$E$1000,"Purchase",'Data entry'!$G$3:$G$1000,D12))</f>
        <v/>
      </c>
      <c r="J12" s="16" t="str">
        <f>IF(D12="","",SUMIFS('Data entry'!$J$3:$J$1000,'Data entry'!$E$3:$E$1000,"Sale",'Data entry'!$G$3:$G$1000,D12))</f>
        <v/>
      </c>
      <c r="K12" s="16" t="str">
        <f>IF(D12="","",SUMIFS('Data entry'!$J$3:$J$1000,'Data entry'!$E$3:$E$1000,"Purchase",'Data entry'!$G$3:$G$1000,D12))</f>
        <v/>
      </c>
      <c r="L12" s="16" t="str">
        <f t="shared" si="0"/>
        <v/>
      </c>
      <c r="M12" s="15"/>
      <c r="N12" s="16" t="str">
        <f t="shared" si="1"/>
        <v/>
      </c>
      <c r="O12" s="44"/>
      <c r="P12" s="45"/>
      <c r="Q12" s="46" t="str">
        <f>IF(O12="","",SUMIFS('Data entry'!$K$3:$K$1000,'Data entry'!$E$3:$E$1000,"Supply",'Data entry'!$G$3:$G$1000,O12))</f>
        <v/>
      </c>
      <c r="R12" s="46" t="str">
        <f t="shared" si="2"/>
        <v/>
      </c>
      <c r="S12" s="43"/>
      <c r="T12" s="47" t="str">
        <f>IF(O12="","",SUMIFS('Data entry'!$J$3:$J$1000,'Data entry'!$E$3:$E$1000,"Supply",'Data entry'!$F$3:$F$1000,O12))</f>
        <v/>
      </c>
      <c r="U12" s="48"/>
      <c r="V12" s="48" t="str">
        <f t="shared" si="4"/>
        <v/>
      </c>
      <c r="W12" s="43" t="str">
        <f t="shared" si="3"/>
        <v/>
      </c>
    </row>
    <row r="13" spans="1:23" ht="15" thickBot="1" x14ac:dyDescent="0.35">
      <c r="A13" s="20"/>
      <c r="B13" s="36"/>
      <c r="C13" s="15"/>
      <c r="D13" s="15"/>
      <c r="E13" s="42"/>
      <c r="F13" s="15"/>
      <c r="G13" s="17" t="str">
        <f>IF(D13="","",SUMIFS('Data entry'!$K$3:$K$1000,'Data entry'!$E$3:$E$1000,"Purchase",'Data entry'!$G$3:$G$1000,D13))</f>
        <v/>
      </c>
      <c r="H13" s="17" t="str">
        <f>IF(D13="","",SUMIFS('Data entry'!$K$3:$K$1000,'Data entry'!$E$3:$E$1000,"Sale",'Data entry'!$G$3:$G$1000,D13))</f>
        <v/>
      </c>
      <c r="I13" s="17" t="str">
        <f>IF(D13="","",SUMIFS('Data entry'!$K$3:$K$1000,'Data entry'!$E$3:$E$1000,"Sale",'Data entry'!$G$3:$G$1000,D13)-SUMIFS('Data entry'!$K$3:$K$1000,'Data entry'!$E$3:$E$1000,"Purchase",'Data entry'!$G$3:$G$1000,D13))</f>
        <v/>
      </c>
      <c r="J13" s="16" t="str">
        <f>IF(D13="","",SUMIFS('Data entry'!$J$3:$J$1000,'Data entry'!$E$3:$E$1000,"Sale",'Data entry'!$G$3:$G$1000,D13))</f>
        <v/>
      </c>
      <c r="K13" s="16" t="str">
        <f>IF(D13="","",SUMIFS('Data entry'!$J$3:$J$1000,'Data entry'!$E$3:$E$1000,"Purchase",'Data entry'!$G$3:$G$1000,D13))</f>
        <v/>
      </c>
      <c r="L13" s="16" t="str">
        <f t="shared" si="0"/>
        <v/>
      </c>
      <c r="M13" s="15"/>
      <c r="N13" s="16" t="str">
        <f t="shared" si="1"/>
        <v/>
      </c>
      <c r="O13" s="44"/>
      <c r="P13" s="45"/>
      <c r="Q13" s="46" t="str">
        <f>IF(O13="","",SUMIFS('Data entry'!$K$3:$K$1000,'Data entry'!$E$3:$E$1000,"Supply",'Data entry'!$G$3:$G$1000,O13))</f>
        <v/>
      </c>
      <c r="R13" s="46" t="str">
        <f t="shared" si="2"/>
        <v/>
      </c>
      <c r="S13" s="43"/>
      <c r="T13" s="47" t="str">
        <f>IF(O13="","",SUMIFS('Data entry'!$J$3:$J$1000,'Data entry'!$E$3:$E$1000,"Supply",'Data entry'!$F$3:$F$1000,O13))</f>
        <v/>
      </c>
      <c r="U13" s="48"/>
      <c r="V13" s="48" t="str">
        <f t="shared" si="4"/>
        <v/>
      </c>
      <c r="W13" s="43" t="str">
        <f t="shared" si="3"/>
        <v/>
      </c>
    </row>
    <row r="14" spans="1:23" ht="15" thickBot="1" x14ac:dyDescent="0.35">
      <c r="A14" s="20"/>
      <c r="B14" s="36"/>
      <c r="C14" s="8" t="s">
        <v>4</v>
      </c>
      <c r="D14" s="8" t="s">
        <v>61</v>
      </c>
      <c r="E14" s="9">
        <v>100</v>
      </c>
      <c r="F14" s="8">
        <v>4</v>
      </c>
      <c r="G14" s="17">
        <f>IF(D14="","",SUMIFS('Data entry'!$K$3:$K$1000,'Data entry'!$E$3:$E$1000,"Purchase",'Data entry'!$G$3:$G$1000,D14))</f>
        <v>0</v>
      </c>
      <c r="H14" s="17">
        <f>IF(D14="","",SUMIFS('Data entry'!$K$3:$K$1000,'Data entry'!$E$3:$E$1000,"Sale",'Data entry'!$G$3:$G$1000,D14))</f>
        <v>200</v>
      </c>
      <c r="I14" s="17">
        <f>IF(D14="","",SUMIFS('Data entry'!$K$3:$K$1000,'Data entry'!$E$3:$E$1000,"Sale",'Data entry'!$G$3:$G$1000,D14)-SUMIFS('Data entry'!$K$3:$K$1000,'Data entry'!$E$3:$E$1000,"Purchase",'Data entry'!$G$3:$G$1000,D14))</f>
        <v>200</v>
      </c>
      <c r="J14" s="16">
        <f>IF(D14="","",SUMIFS('Data entry'!$J$3:$J$1000,'Data entry'!$E$3:$E$1000,"Sale",'Data entry'!$G$3:$G$1000,D14))</f>
        <v>2</v>
      </c>
      <c r="K14" s="16">
        <f>IF(D14="","",SUMIFS('Data entry'!$J$3:$J$1000,'Data entry'!$E$3:$E$1000,"Purchase",'Data entry'!$G$3:$G$1000,D14))</f>
        <v>0</v>
      </c>
      <c r="L14" s="16">
        <f t="shared" si="0"/>
        <v>2</v>
      </c>
      <c r="M14" s="8">
        <v>2</v>
      </c>
      <c r="N14" s="16" t="str">
        <f t="shared" si="1"/>
        <v>Stock running out</v>
      </c>
      <c r="O14" s="43"/>
      <c r="P14" s="46"/>
      <c r="Q14" s="46" t="str">
        <f>IF(O14="","",SUMIFS('Data entry'!$K$3:$K$1000,'Data entry'!$E$3:$E$1000,"Supply",'Data entry'!$G$3:$G$1000,O14))</f>
        <v/>
      </c>
      <c r="R14" s="46" t="str">
        <f t="shared" si="2"/>
        <v/>
      </c>
      <c r="S14" s="43"/>
      <c r="T14" s="47" t="str">
        <f>IF(O14="","",SUMIFS('Data entry'!$J$3:$J$1000,'Data entry'!$E$3:$E$1000,"Supply",'Data entry'!$F$3:$F$1000,O14))</f>
        <v/>
      </c>
      <c r="U14" s="48"/>
      <c r="V14" s="48" t="str">
        <f t="shared" si="4"/>
        <v/>
      </c>
      <c r="W14" s="43" t="str">
        <f t="shared" si="3"/>
        <v/>
      </c>
    </row>
    <row r="15" spans="1:23" ht="15" thickBot="1" x14ac:dyDescent="0.35">
      <c r="A15" s="20"/>
      <c r="B15" s="36"/>
      <c r="C15" s="8" t="s">
        <v>4</v>
      </c>
      <c r="D15" s="8" t="s">
        <v>62</v>
      </c>
      <c r="E15" s="9">
        <v>200</v>
      </c>
      <c r="F15" s="8">
        <v>24</v>
      </c>
      <c r="G15" s="17">
        <f>IF(D15="","",SUMIFS('Data entry'!$K$3:$K$1000,'Data entry'!$E$3:$E$1000,"Purchase",'Data entry'!$G$3:$G$1000,D15))</f>
        <v>0</v>
      </c>
      <c r="H15" s="17">
        <f>IF(D15="","",SUMIFS('Data entry'!$K$3:$K$1000,'Data entry'!$E$3:$E$1000,"Sale",'Data entry'!$G$3:$G$1000,D15))</f>
        <v>0</v>
      </c>
      <c r="I15" s="17">
        <f>IF(D15="","",SUMIFS('Data entry'!$K$3:$K$1000,'Data entry'!$E$3:$E$1000,"Sale",'Data entry'!$G$3:$G$1000,D15)-SUMIFS('Data entry'!$K$3:$K$1000,'Data entry'!$E$3:$E$1000,"Purchase",'Data entry'!$G$3:$G$1000,D15))</f>
        <v>0</v>
      </c>
      <c r="J15" s="16">
        <f>IF(D15="","",SUMIFS('Data entry'!$J$3:$J$1000,'Data entry'!$E$3:$E$1000,"Sale",'Data entry'!$G$3:$G$1000,D15))</f>
        <v>0</v>
      </c>
      <c r="K15" s="16">
        <f>IF(D15="","",SUMIFS('Data entry'!$J$3:$J$1000,'Data entry'!$E$3:$E$1000,"Purchase",'Data entry'!$G$3:$G$1000,D15))</f>
        <v>0</v>
      </c>
      <c r="L15" s="16">
        <f t="shared" si="0"/>
        <v>24</v>
      </c>
      <c r="M15" s="8">
        <v>2</v>
      </c>
      <c r="N15" s="16" t="str">
        <f t="shared" si="1"/>
        <v>In stock</v>
      </c>
      <c r="O15" s="43"/>
      <c r="P15" s="46"/>
      <c r="Q15" s="46" t="str">
        <f>IF(O15="","",SUMIFS('Data entry'!$K$3:$K$1000,'Data entry'!$E$3:$E$1000,"Supply",'Data entry'!$G$3:$G$1000,O15))</f>
        <v/>
      </c>
      <c r="R15" s="46" t="str">
        <f t="shared" si="2"/>
        <v/>
      </c>
      <c r="S15" s="43"/>
      <c r="T15" s="47" t="str">
        <f>IF(O15="","",SUMIFS('Data entry'!$J$3:$J$1000,'Data entry'!$E$3:$E$1000,"Supply",'Data entry'!$F$3:$F$1000,O15))</f>
        <v/>
      </c>
      <c r="U15" s="48"/>
      <c r="V15" s="48" t="str">
        <f t="shared" si="4"/>
        <v/>
      </c>
      <c r="W15" s="43" t="str">
        <f t="shared" si="3"/>
        <v/>
      </c>
    </row>
    <row r="16" spans="1:23" ht="15" thickBot="1" x14ac:dyDescent="0.35">
      <c r="A16" s="20"/>
      <c r="B16" s="36"/>
      <c r="C16" s="8" t="s">
        <v>4</v>
      </c>
      <c r="D16" s="8" t="s">
        <v>63</v>
      </c>
      <c r="E16" s="9">
        <v>300</v>
      </c>
      <c r="F16" s="8">
        <v>5</v>
      </c>
      <c r="G16" s="17">
        <f>IF(D16="","",SUMIFS('Data entry'!$K$3:$K$1000,'Data entry'!$E$3:$E$1000,"Purchase",'Data entry'!$G$3:$G$1000,D16))</f>
        <v>0</v>
      </c>
      <c r="H16" s="17">
        <f>IF(D16="","",SUMIFS('Data entry'!$K$3:$K$1000,'Data entry'!$E$3:$E$1000,"Sale",'Data entry'!$G$3:$G$1000,D16))</f>
        <v>1500</v>
      </c>
      <c r="I16" s="17">
        <f>IF(D16="","",SUMIFS('Data entry'!$K$3:$K$1000,'Data entry'!$E$3:$E$1000,"Sale",'Data entry'!$G$3:$G$1000,D16)-SUMIFS('Data entry'!$K$3:$K$1000,'Data entry'!$E$3:$E$1000,"Purchase",'Data entry'!$G$3:$G$1000,D16))</f>
        <v>1500</v>
      </c>
      <c r="J16" s="16">
        <f>IF(D16="","",SUMIFS('Data entry'!$J$3:$J$1000,'Data entry'!$E$3:$E$1000,"Sale",'Data entry'!$G$3:$G$1000,D16))</f>
        <v>5</v>
      </c>
      <c r="K16" s="16">
        <f>IF(D16="","",SUMIFS('Data entry'!$J$3:$J$1000,'Data entry'!$E$3:$E$1000,"Purchase",'Data entry'!$G$3:$G$1000,D16))</f>
        <v>0</v>
      </c>
      <c r="L16" s="16">
        <f t="shared" si="0"/>
        <v>0</v>
      </c>
      <c r="M16" s="8">
        <v>2</v>
      </c>
      <c r="N16" s="16" t="str">
        <f t="shared" si="1"/>
        <v>Out of stock</v>
      </c>
      <c r="O16" s="43"/>
      <c r="P16" s="46"/>
      <c r="Q16" s="46" t="str">
        <f>IF(O16="","",SUMIFS('Data entry'!$K$3:$K$1000,'Data entry'!$E$3:$E$1000,"Supply",'Data entry'!$G$3:$G$1000,O16))</f>
        <v/>
      </c>
      <c r="R16" s="46" t="str">
        <f t="shared" si="2"/>
        <v/>
      </c>
      <c r="S16" s="43"/>
      <c r="T16" s="47" t="str">
        <f>IF(O16="","",SUMIFS('Data entry'!$J$3:$J$1000,'Data entry'!$E$3:$E$1000,"Supply",'Data entry'!$F$3:$F$1000,O16))</f>
        <v/>
      </c>
      <c r="U16" s="48"/>
      <c r="V16" s="48" t="str">
        <f t="shared" si="4"/>
        <v/>
      </c>
      <c r="W16" s="43" t="str">
        <f t="shared" si="3"/>
        <v/>
      </c>
    </row>
    <row r="17" spans="1:23" ht="15" thickBot="1" x14ac:dyDescent="0.35">
      <c r="A17" s="20"/>
      <c r="B17" s="36"/>
      <c r="C17" s="8" t="s">
        <v>4</v>
      </c>
      <c r="D17" s="8" t="s">
        <v>64</v>
      </c>
      <c r="E17" s="9">
        <v>400</v>
      </c>
      <c r="F17" s="8">
        <v>10</v>
      </c>
      <c r="G17" s="17">
        <f>IF(D17="","",SUMIFS('Data entry'!$K$3:$K$1000,'Data entry'!$E$3:$E$1000,"Purchase",'Data entry'!$G$3:$G$1000,D17))</f>
        <v>0</v>
      </c>
      <c r="H17" s="17">
        <f>IF(D17="","",SUMIFS('Data entry'!$K$3:$K$1000,'Data entry'!$E$3:$E$1000,"Sale",'Data entry'!$G$3:$G$1000,D17))</f>
        <v>0</v>
      </c>
      <c r="I17" s="17">
        <f>IF(D17="","",SUMIFS('Data entry'!$K$3:$K$1000,'Data entry'!$E$3:$E$1000,"Sale",'Data entry'!$G$3:$G$1000,D17)-SUMIFS('Data entry'!$K$3:$K$1000,'Data entry'!$E$3:$E$1000,"Purchase",'Data entry'!$G$3:$G$1000,D17))</f>
        <v>0</v>
      </c>
      <c r="J17" s="16">
        <f>IF(D17="","",SUMIFS('Data entry'!$J$3:$J$1000,'Data entry'!$E$3:$E$1000,"Sale",'Data entry'!$G$3:$G$1000,D17))</f>
        <v>0</v>
      </c>
      <c r="K17" s="16">
        <f>IF(D17="","",SUMIFS('Data entry'!$J$3:$J$1000,'Data entry'!$E$3:$E$1000,"Purchase",'Data entry'!$G$3:$G$1000,D17))</f>
        <v>0</v>
      </c>
      <c r="L17" s="16">
        <f t="shared" si="0"/>
        <v>10</v>
      </c>
      <c r="M17" s="8">
        <v>2</v>
      </c>
      <c r="N17" s="16" t="str">
        <f t="shared" si="1"/>
        <v>In stock</v>
      </c>
      <c r="O17" s="43"/>
      <c r="P17" s="46"/>
      <c r="Q17" s="46" t="str">
        <f>IF(O17="","",SUMIFS('Data entry'!$K$3:$K$1000,'Data entry'!$E$3:$E$1000,"Supply",'Data entry'!$G$3:$G$1000,O17))</f>
        <v/>
      </c>
      <c r="R17" s="46" t="str">
        <f t="shared" si="2"/>
        <v/>
      </c>
      <c r="S17" s="43"/>
      <c r="T17" s="47" t="str">
        <f>IF(O17="","",SUMIFS('Data entry'!$J$3:$J$1000,'Data entry'!$E$3:$E$1000,"Supply",'Data entry'!$F$3:$F$1000,O17))</f>
        <v/>
      </c>
      <c r="U17" s="48"/>
      <c r="V17" s="48" t="str">
        <f t="shared" si="4"/>
        <v/>
      </c>
      <c r="W17" s="43" t="str">
        <f t="shared" si="3"/>
        <v/>
      </c>
    </row>
    <row r="18" spans="1:23" ht="15" thickBot="1" x14ac:dyDescent="0.35">
      <c r="A18" s="20"/>
      <c r="B18" s="36"/>
      <c r="C18" s="8"/>
      <c r="D18" s="8"/>
      <c r="E18" s="9"/>
      <c r="F18" s="8"/>
      <c r="G18" s="17" t="str">
        <f>IF(D18="","",SUMIFS('Data entry'!$K$3:$K$1000,'Data entry'!$E$3:$E$1000,"Purchase",'Data entry'!$G$3:$G$1000,D18))</f>
        <v/>
      </c>
      <c r="H18" s="17" t="str">
        <f>IF(D18="","",SUMIFS('Data entry'!$K$3:$K$1000,'Data entry'!$E$3:$E$1000,"Sale",'Data entry'!$G$3:$G$1000,D18))</f>
        <v/>
      </c>
      <c r="I18" s="17" t="str">
        <f>IF(D18="","",SUMIFS('Data entry'!$K$3:$K$1000,'Data entry'!$E$3:$E$1000,"Sale",'Data entry'!$G$3:$G$1000,D18)-SUMIFS('Data entry'!$K$3:$K$1000,'Data entry'!$E$3:$E$1000,"Purchase",'Data entry'!$G$3:$G$1000,D18))</f>
        <v/>
      </c>
      <c r="J18" s="16" t="str">
        <f>IF(D18="","",SUMIFS('Data entry'!$J$3:$J$1000,'Data entry'!$E$3:$E$1000,"Sale",'Data entry'!$G$3:$G$1000,D18))</f>
        <v/>
      </c>
      <c r="K18" s="16" t="str">
        <f>IF(D18="","",SUMIFS('Data entry'!$J$3:$J$1000,'Data entry'!$E$3:$E$1000,"Purchase",'Data entry'!$G$3:$G$1000,D18))</f>
        <v/>
      </c>
      <c r="L18" s="16" t="str">
        <f t="shared" si="0"/>
        <v/>
      </c>
      <c r="M18" s="15"/>
      <c r="N18" s="16" t="str">
        <f t="shared" si="1"/>
        <v/>
      </c>
      <c r="O18" s="43"/>
      <c r="P18" s="46"/>
      <c r="Q18" s="46" t="str">
        <f>IF(O18="","",SUMIFS('Data entry'!$K$3:$K$1000,'Data entry'!$E$3:$E$1000,"Supply",'Data entry'!$G$3:$G$1000,O18))</f>
        <v/>
      </c>
      <c r="R18" s="46" t="str">
        <f t="shared" si="2"/>
        <v/>
      </c>
      <c r="S18" s="43"/>
      <c r="T18" s="47" t="str">
        <f>IF(O18="","",SUMIFS('Data entry'!$J$3:$J$1000,'Data entry'!$E$3:$E$1000,"Supply",'Data entry'!$F$3:$F$1000,O18))</f>
        <v/>
      </c>
      <c r="U18" s="48"/>
      <c r="V18" s="48" t="str">
        <f t="shared" si="4"/>
        <v/>
      </c>
      <c r="W18" s="43" t="str">
        <f t="shared" si="3"/>
        <v/>
      </c>
    </row>
    <row r="19" spans="1:23" ht="15" thickBot="1" x14ac:dyDescent="0.35">
      <c r="A19" s="20"/>
      <c r="B19" s="36"/>
      <c r="C19" s="8"/>
      <c r="D19" s="8"/>
      <c r="E19" s="9"/>
      <c r="F19" s="8"/>
      <c r="G19" s="17" t="str">
        <f>IF(D19="","",SUMIFS('Data entry'!$K$3:$K$1000,'Data entry'!$E$3:$E$1000,"Purchase",'Data entry'!$G$3:$G$1000,D19))</f>
        <v/>
      </c>
      <c r="H19" s="17" t="str">
        <f>IF(D19="","",SUMIFS('Data entry'!$K$3:$K$1000,'Data entry'!$E$3:$E$1000,"Sale",'Data entry'!$G$3:$G$1000,D19))</f>
        <v/>
      </c>
      <c r="I19" s="17" t="str">
        <f>IF(D19="","",SUMIFS('Data entry'!$K$3:$K$1000,'Data entry'!$E$3:$E$1000,"Sale",'Data entry'!$G$3:$G$1000,D19)-SUMIFS('Data entry'!$K$3:$K$1000,'Data entry'!$E$3:$E$1000,"Purchase",'Data entry'!$G$3:$G$1000,D19))</f>
        <v/>
      </c>
      <c r="J19" s="16" t="str">
        <f>IF(D19="","",SUMIFS('Data entry'!$J$3:$J$1000,'Data entry'!$E$3:$E$1000,"Sale",'Data entry'!$G$3:$G$1000,D19))</f>
        <v/>
      </c>
      <c r="K19" s="16" t="str">
        <f>IF(D19="","",SUMIFS('Data entry'!$J$3:$J$1000,'Data entry'!$E$3:$E$1000,"Purchase",'Data entry'!$G$3:$G$1000,D19))</f>
        <v/>
      </c>
      <c r="L19" s="16" t="str">
        <f t="shared" si="0"/>
        <v/>
      </c>
      <c r="M19" s="15"/>
      <c r="N19" s="16" t="str">
        <f t="shared" si="1"/>
        <v/>
      </c>
      <c r="O19" s="43"/>
      <c r="P19" s="46"/>
      <c r="Q19" s="46" t="str">
        <f>IF(O19="","",SUMIFS('Data entry'!$K$3:$K$1000,'Data entry'!$E$3:$E$1000,"Supply",'Data entry'!$G$3:$G$1000,O19))</f>
        <v/>
      </c>
      <c r="R19" s="46" t="str">
        <f t="shared" si="2"/>
        <v/>
      </c>
      <c r="S19" s="43"/>
      <c r="T19" s="47" t="str">
        <f>IF(O19="","",SUMIFS('Data entry'!$J$3:$J$1000,'Data entry'!$E$3:$E$1000,"Supply",'Data entry'!$F$3:$F$1000,O19))</f>
        <v/>
      </c>
      <c r="U19" s="48"/>
      <c r="V19" s="48" t="str">
        <f t="shared" si="4"/>
        <v/>
      </c>
      <c r="W19" s="43" t="str">
        <f t="shared" si="3"/>
        <v/>
      </c>
    </row>
    <row r="20" spans="1:23" ht="15" thickBot="1" x14ac:dyDescent="0.35">
      <c r="A20" s="20"/>
      <c r="B20" s="36"/>
      <c r="C20" s="8" t="s">
        <v>5</v>
      </c>
      <c r="D20" s="8" t="s">
        <v>65</v>
      </c>
      <c r="E20" s="9">
        <v>100</v>
      </c>
      <c r="F20" s="8">
        <v>20</v>
      </c>
      <c r="G20" s="17">
        <f>IF(D20="","",SUMIFS('Data entry'!$K$3:$K$1000,'Data entry'!$E$3:$E$1000,"Purchase",'Data entry'!$G$3:$G$1000,D20))</f>
        <v>0</v>
      </c>
      <c r="H20" s="17">
        <f>IF(D20="","",SUMIFS('Data entry'!$K$3:$K$1000,'Data entry'!$E$3:$E$1000,"Sale",'Data entry'!$G$3:$G$1000,D20))</f>
        <v>0</v>
      </c>
      <c r="I20" s="17">
        <f>IF(D20="","",SUMIFS('Data entry'!$K$3:$K$1000,'Data entry'!$E$3:$E$1000,"Sale",'Data entry'!$G$3:$G$1000,D20)-SUMIFS('Data entry'!$K$3:$K$1000,'Data entry'!$E$3:$E$1000,"Purchase",'Data entry'!$G$3:$G$1000,D20))</f>
        <v>0</v>
      </c>
      <c r="J20" s="16">
        <f>IF(D20="","",SUMIFS('Data entry'!$J$3:$J$1000,'Data entry'!$E$3:$E$1000,"Sale",'Data entry'!$G$3:$G$1000,D20))</f>
        <v>0</v>
      </c>
      <c r="K20" s="16">
        <f>IF(D20="","",SUMIFS('Data entry'!$J$3:$J$1000,'Data entry'!$E$3:$E$1000,"Purchase",'Data entry'!$G$3:$G$1000,D20))</f>
        <v>0</v>
      </c>
      <c r="L20" s="16">
        <f t="shared" si="0"/>
        <v>20</v>
      </c>
      <c r="M20" s="8">
        <v>2</v>
      </c>
      <c r="N20" s="16" t="str">
        <f t="shared" si="1"/>
        <v>In stock</v>
      </c>
      <c r="O20" s="43"/>
      <c r="P20" s="46"/>
      <c r="Q20" s="46" t="str">
        <f>IF(O20="","",SUMIFS('Data entry'!$K$3:$K$1000,'Data entry'!$E$3:$E$1000,"Supply",'Data entry'!$G$3:$G$1000,O20))</f>
        <v/>
      </c>
      <c r="R20" s="46" t="str">
        <f t="shared" si="2"/>
        <v/>
      </c>
      <c r="S20" s="43"/>
      <c r="T20" s="47" t="str">
        <f>IF(O20="","",SUMIFS('Data entry'!$J$3:$J$1000,'Data entry'!$E$3:$E$1000,"Supply",'Data entry'!$F$3:$F$1000,O20))</f>
        <v/>
      </c>
      <c r="U20" s="48"/>
      <c r="V20" s="48" t="str">
        <f t="shared" si="4"/>
        <v/>
      </c>
      <c r="W20" s="43" t="str">
        <f t="shared" si="3"/>
        <v/>
      </c>
    </row>
    <row r="21" spans="1:23" ht="15" thickBot="1" x14ac:dyDescent="0.35">
      <c r="A21" s="20"/>
      <c r="B21" s="36"/>
      <c r="C21" s="8" t="s">
        <v>5</v>
      </c>
      <c r="D21" s="8" t="s">
        <v>66</v>
      </c>
      <c r="E21" s="9">
        <v>200</v>
      </c>
      <c r="F21" s="8">
        <v>26</v>
      </c>
      <c r="G21" s="17">
        <f>IF(D21="","",SUMIFS('Data entry'!$K$3:$K$1000,'Data entry'!$E$3:$E$1000,"Purchase",'Data entry'!$G$3:$G$1000,D21))</f>
        <v>0</v>
      </c>
      <c r="H21" s="17">
        <f>IF(D21="","",SUMIFS('Data entry'!$K$3:$K$1000,'Data entry'!$E$3:$E$1000,"Sale",'Data entry'!$G$3:$G$1000,D21))</f>
        <v>0</v>
      </c>
      <c r="I21" s="17">
        <f>IF(D21="","",SUMIFS('Data entry'!$K$3:$K$1000,'Data entry'!$E$3:$E$1000,"Sale",'Data entry'!$G$3:$G$1000,D21)-SUMIFS('Data entry'!$K$3:$K$1000,'Data entry'!$E$3:$E$1000,"Purchase",'Data entry'!$G$3:$G$1000,D21))</f>
        <v>0</v>
      </c>
      <c r="J21" s="16">
        <f>IF(D21="","",SUMIFS('Data entry'!$J$3:$J$1000,'Data entry'!$E$3:$E$1000,"Sale",'Data entry'!$G$3:$G$1000,D21))</f>
        <v>0</v>
      </c>
      <c r="K21" s="16">
        <f>IF(D21="","",SUMIFS('Data entry'!$J$3:$J$1000,'Data entry'!$E$3:$E$1000,"Purchase",'Data entry'!$G$3:$G$1000,D21))</f>
        <v>0</v>
      </c>
      <c r="L21" s="16">
        <f t="shared" si="0"/>
        <v>26</v>
      </c>
      <c r="M21" s="8">
        <v>2</v>
      </c>
      <c r="N21" s="16" t="str">
        <f t="shared" si="1"/>
        <v>In stock</v>
      </c>
      <c r="O21" s="43"/>
      <c r="P21" s="46"/>
      <c r="Q21" s="46" t="str">
        <f>IF(O21="","",SUMIFS('Data entry'!$K$3:$K$1000,'Data entry'!$E$3:$E$1000,"Supply",'Data entry'!$G$3:$G$1000,O21))</f>
        <v/>
      </c>
      <c r="R21" s="46" t="str">
        <f t="shared" si="2"/>
        <v/>
      </c>
      <c r="S21" s="43"/>
      <c r="T21" s="47" t="str">
        <f>IF(O21="","",SUMIFS('Data entry'!$J$3:$J$1000,'Data entry'!$E$3:$E$1000,"Supply",'Data entry'!$F$3:$F$1000,O21))</f>
        <v/>
      </c>
      <c r="U21" s="48"/>
      <c r="V21" s="48" t="str">
        <f t="shared" si="4"/>
        <v/>
      </c>
      <c r="W21" s="43" t="str">
        <f t="shared" si="3"/>
        <v/>
      </c>
    </row>
    <row r="22" spans="1:23" ht="15" thickBot="1" x14ac:dyDescent="0.35">
      <c r="A22" s="20"/>
      <c r="B22" s="36"/>
      <c r="C22" s="8" t="s">
        <v>5</v>
      </c>
      <c r="D22" s="8" t="s">
        <v>67</v>
      </c>
      <c r="E22" s="9">
        <v>300</v>
      </c>
      <c r="F22" s="8">
        <v>29</v>
      </c>
      <c r="G22" s="17">
        <f>IF(D22="","",SUMIFS('Data entry'!$K$3:$K$1000,'Data entry'!$E$3:$E$1000,"Purchase",'Data entry'!$G$3:$G$1000,D22))</f>
        <v>1800</v>
      </c>
      <c r="H22" s="17">
        <f>IF(D22="","",SUMIFS('Data entry'!$K$3:$K$1000,'Data entry'!$E$3:$E$1000,"Sale",'Data entry'!$G$3:$G$1000,D22))</f>
        <v>0</v>
      </c>
      <c r="I22" s="17">
        <f>IF(D22="","",SUMIFS('Data entry'!$K$3:$K$1000,'Data entry'!$E$3:$E$1000,"Sale",'Data entry'!$G$3:$G$1000,D22)-SUMIFS('Data entry'!$K$3:$K$1000,'Data entry'!$E$3:$E$1000,"Purchase",'Data entry'!$G$3:$G$1000,D22))</f>
        <v>-1800</v>
      </c>
      <c r="J22" s="16">
        <f>IF(D22="","",SUMIFS('Data entry'!$J$3:$J$1000,'Data entry'!$E$3:$E$1000,"Sale",'Data entry'!$G$3:$G$1000,D22))</f>
        <v>0</v>
      </c>
      <c r="K22" s="16">
        <f>IF(D22="","",SUMIFS('Data entry'!$J$3:$J$1000,'Data entry'!$E$3:$E$1000,"Purchase",'Data entry'!$G$3:$G$1000,D22))</f>
        <v>6</v>
      </c>
      <c r="L22" s="16">
        <f t="shared" si="0"/>
        <v>35</v>
      </c>
      <c r="M22" s="8">
        <v>2</v>
      </c>
      <c r="N22" s="16" t="str">
        <f t="shared" si="1"/>
        <v>In stock</v>
      </c>
      <c r="O22" s="43"/>
      <c r="P22" s="46"/>
      <c r="Q22" s="46" t="str">
        <f>IF(O22="","",SUMIFS('Data entry'!$K$3:$K$1000,'Data entry'!$E$3:$E$1000,"Supply",'Data entry'!$G$3:$G$1000,O22))</f>
        <v/>
      </c>
      <c r="R22" s="46" t="str">
        <f t="shared" si="2"/>
        <v/>
      </c>
      <c r="S22" s="43"/>
      <c r="T22" s="47" t="str">
        <f>IF(O22="","",SUMIFS('Data entry'!$J$3:$J$1000,'Data entry'!$E$3:$E$1000,"Supply",'Data entry'!$F$3:$F$1000,O22))</f>
        <v/>
      </c>
      <c r="U22" s="48"/>
      <c r="V22" s="48" t="str">
        <f t="shared" si="4"/>
        <v/>
      </c>
      <c r="W22" s="43" t="str">
        <f t="shared" si="3"/>
        <v/>
      </c>
    </row>
    <row r="23" spans="1:23" ht="15" thickBot="1" x14ac:dyDescent="0.35">
      <c r="A23" s="20"/>
      <c r="B23" s="36"/>
      <c r="C23" s="8" t="s">
        <v>5</v>
      </c>
      <c r="D23" s="8" t="s">
        <v>68</v>
      </c>
      <c r="E23" s="9">
        <v>400</v>
      </c>
      <c r="F23" s="8">
        <v>24</v>
      </c>
      <c r="G23" s="17">
        <f>IF(D23="","",SUMIFS('Data entry'!$K$3:$K$1000,'Data entry'!$E$3:$E$1000,"Purchase",'Data entry'!$G$3:$G$1000,D23))</f>
        <v>0</v>
      </c>
      <c r="H23" s="17">
        <f>IF(D23="","",SUMIFS('Data entry'!$K$3:$K$1000,'Data entry'!$E$3:$E$1000,"Sale",'Data entry'!$G$3:$G$1000,D23))</f>
        <v>0</v>
      </c>
      <c r="I23" s="17">
        <f>IF(D23="","",SUMIFS('Data entry'!$K$3:$K$1000,'Data entry'!$E$3:$E$1000,"Sale",'Data entry'!$G$3:$G$1000,D23)-SUMIFS('Data entry'!$K$3:$K$1000,'Data entry'!$E$3:$E$1000,"Purchase",'Data entry'!$G$3:$G$1000,D23))</f>
        <v>0</v>
      </c>
      <c r="J23" s="16">
        <f>IF(D23="","",SUMIFS('Data entry'!$J$3:$J$1000,'Data entry'!$E$3:$E$1000,"Sale",'Data entry'!$G$3:$G$1000,D23))</f>
        <v>0</v>
      </c>
      <c r="K23" s="16">
        <f>IF(D23="","",SUMIFS('Data entry'!$J$3:$J$1000,'Data entry'!$E$3:$E$1000,"Purchase",'Data entry'!$G$3:$G$1000,D23))</f>
        <v>0</v>
      </c>
      <c r="L23" s="16">
        <f t="shared" si="0"/>
        <v>24</v>
      </c>
      <c r="M23" s="8">
        <v>2</v>
      </c>
      <c r="N23" s="16" t="str">
        <f t="shared" si="1"/>
        <v>In stock</v>
      </c>
      <c r="O23" s="43"/>
      <c r="P23" s="46"/>
      <c r="Q23" s="46" t="str">
        <f>IF(O23="","",SUMIFS('Data entry'!$K$3:$K$1000,'Data entry'!$E$3:$E$1000,"Supply",'Data entry'!$G$3:$G$1000,O23))</f>
        <v/>
      </c>
      <c r="R23" s="46" t="str">
        <f t="shared" si="2"/>
        <v/>
      </c>
      <c r="S23" s="43"/>
      <c r="T23" s="47" t="str">
        <f>IF(O23="","",SUMIFS('Data entry'!$J$3:$J$1000,'Data entry'!$E$3:$E$1000,"Supply",'Data entry'!$F$3:$F$1000,O23))</f>
        <v/>
      </c>
      <c r="U23" s="48"/>
      <c r="V23" s="48" t="str">
        <f t="shared" si="4"/>
        <v/>
      </c>
      <c r="W23" s="43" t="str">
        <f t="shared" si="3"/>
        <v/>
      </c>
    </row>
    <row r="24" spans="1:23" ht="15" thickBot="1" x14ac:dyDescent="0.35">
      <c r="A24" s="20"/>
      <c r="B24" s="36"/>
      <c r="C24" s="8" t="s">
        <v>5</v>
      </c>
      <c r="D24" s="8" t="s">
        <v>69</v>
      </c>
      <c r="E24" s="9">
        <v>500</v>
      </c>
      <c r="F24" s="8">
        <v>20</v>
      </c>
      <c r="G24" s="17">
        <f>IF(D24="","",SUMIFS('Data entry'!$K$3:$K$1000,'Data entry'!$E$3:$E$1000,"Purchase",'Data entry'!$G$3:$G$1000,D24))</f>
        <v>0</v>
      </c>
      <c r="H24" s="17">
        <f>IF(D24="","",SUMIFS('Data entry'!$K$3:$K$1000,'Data entry'!$E$3:$E$1000,"Sale",'Data entry'!$G$3:$G$1000,D24))</f>
        <v>5500</v>
      </c>
      <c r="I24" s="17">
        <f>IF(D24="","",SUMIFS('Data entry'!$K$3:$K$1000,'Data entry'!$E$3:$E$1000,"Sale",'Data entry'!$G$3:$G$1000,D24)-SUMIFS('Data entry'!$K$3:$K$1000,'Data entry'!$E$3:$E$1000,"Purchase",'Data entry'!$G$3:$G$1000,D24))</f>
        <v>5500</v>
      </c>
      <c r="J24" s="16">
        <f>IF(D24="","",SUMIFS('Data entry'!$J$3:$J$1000,'Data entry'!$E$3:$E$1000,"Sale",'Data entry'!$G$3:$G$1000,D24))</f>
        <v>11</v>
      </c>
      <c r="K24" s="16">
        <f>IF(D24="","",SUMIFS('Data entry'!$J$3:$J$1000,'Data entry'!$E$3:$E$1000,"Purchase",'Data entry'!$G$3:$G$1000,D24))</f>
        <v>0</v>
      </c>
      <c r="L24" s="16">
        <f t="shared" si="0"/>
        <v>9</v>
      </c>
      <c r="M24" s="8">
        <v>2</v>
      </c>
      <c r="N24" s="16" t="str">
        <f t="shared" si="1"/>
        <v>In stock</v>
      </c>
      <c r="O24" s="43"/>
      <c r="P24" s="46"/>
      <c r="Q24" s="46" t="str">
        <f>IF(O24="","",SUMIFS('Data entry'!$K$3:$K$1000,'Data entry'!$E$3:$E$1000,"Supply",'Data entry'!$G$3:$G$1000,O24))</f>
        <v/>
      </c>
      <c r="R24" s="46" t="str">
        <f t="shared" si="2"/>
        <v/>
      </c>
      <c r="S24" s="43"/>
      <c r="T24" s="47" t="str">
        <f>IF(O24="","",SUMIFS('Data entry'!$J$3:$J$1000,'Data entry'!$E$3:$E$1000,"Supply",'Data entry'!$F$3:$F$1000,O24))</f>
        <v/>
      </c>
      <c r="U24" s="48"/>
      <c r="V24" s="48" t="str">
        <f t="shared" si="4"/>
        <v/>
      </c>
      <c r="W24" s="43" t="str">
        <f t="shared" si="3"/>
        <v/>
      </c>
    </row>
    <row r="25" spans="1:23" ht="15" thickBot="1" x14ac:dyDescent="0.35">
      <c r="A25" s="20"/>
      <c r="B25" s="36"/>
      <c r="C25" s="8" t="s">
        <v>5</v>
      </c>
      <c r="D25" s="8" t="s">
        <v>70</v>
      </c>
      <c r="E25" s="9">
        <v>600</v>
      </c>
      <c r="F25" s="8">
        <v>26</v>
      </c>
      <c r="G25" s="17">
        <f>IF(D25="","",SUMIFS('Data entry'!$K$3:$K$1000,'Data entry'!$E$3:$E$1000,"Purchase",'Data entry'!$G$3:$G$1000,D25))</f>
        <v>0</v>
      </c>
      <c r="H25" s="17">
        <f>IF(D25="","",SUMIFS('Data entry'!$K$3:$K$1000,'Data entry'!$E$3:$E$1000,"Sale",'Data entry'!$G$3:$G$1000,D25))</f>
        <v>0</v>
      </c>
      <c r="I25" s="17">
        <f>IF(D25="","",SUMIFS('Data entry'!$K$3:$K$1000,'Data entry'!$E$3:$E$1000,"Sale",'Data entry'!$G$3:$G$1000,D25)-SUMIFS('Data entry'!$K$3:$K$1000,'Data entry'!$E$3:$E$1000,"Purchase",'Data entry'!$G$3:$G$1000,D25))</f>
        <v>0</v>
      </c>
      <c r="J25" s="16">
        <f>IF(D25="","",SUMIFS('Data entry'!$J$3:$J$1000,'Data entry'!$E$3:$E$1000,"Sale",'Data entry'!$G$3:$G$1000,D25))</f>
        <v>0</v>
      </c>
      <c r="K25" s="16">
        <f>IF(D25="","",SUMIFS('Data entry'!$J$3:$J$1000,'Data entry'!$E$3:$E$1000,"Purchase",'Data entry'!$G$3:$G$1000,D25))</f>
        <v>0</v>
      </c>
      <c r="L25" s="16">
        <f t="shared" si="0"/>
        <v>26</v>
      </c>
      <c r="M25" s="8">
        <v>2</v>
      </c>
      <c r="N25" s="16" t="str">
        <f t="shared" si="1"/>
        <v>In stock</v>
      </c>
      <c r="O25" s="43"/>
      <c r="P25" s="46"/>
      <c r="Q25" s="46" t="str">
        <f>IF(O25="","",SUMIFS('Data entry'!$K$3:$K$1000,'Data entry'!$E$3:$E$1000,"Supply",'Data entry'!$G$3:$G$1000,O25))</f>
        <v/>
      </c>
      <c r="R25" s="46" t="str">
        <f t="shared" si="2"/>
        <v/>
      </c>
      <c r="S25" s="43"/>
      <c r="T25" s="47" t="str">
        <f>IF(O25="","",SUMIFS('Data entry'!$J$3:$J$1000,'Data entry'!$E$3:$E$1000,"Supply",'Data entry'!$F$3:$F$1000,O25))</f>
        <v/>
      </c>
      <c r="U25" s="48"/>
      <c r="V25" s="48" t="str">
        <f t="shared" si="4"/>
        <v/>
      </c>
      <c r="W25" s="43" t="str">
        <f t="shared" si="3"/>
        <v/>
      </c>
    </row>
    <row r="26" spans="1:23" ht="15" thickBot="1" x14ac:dyDescent="0.35">
      <c r="A26" s="20"/>
      <c r="B26" s="36"/>
      <c r="C26" s="15"/>
      <c r="D26" s="15"/>
      <c r="E26" s="42"/>
      <c r="F26" s="15"/>
      <c r="G26" s="17" t="str">
        <f>IF(D26="","",SUMIFS('Data entry'!$K$3:$K$1000,'Data entry'!$E$3:$E$1000,"Purchase",'Data entry'!$G$3:$G$1000,D26))</f>
        <v/>
      </c>
      <c r="H26" s="17" t="str">
        <f>IF(D26="","",SUMIFS('Data entry'!$K$3:$K$1000,'Data entry'!$E$3:$E$1000,"Sale",'Data entry'!$G$3:$G$1000,D26))</f>
        <v/>
      </c>
      <c r="I26" s="17" t="str">
        <f>IF(D26="","",SUMIFS('Data entry'!$K$3:$K$1000,'Data entry'!$E$3:$E$1000,"Sale",'Data entry'!$G$3:$G$1000,D26)-SUMIFS('Data entry'!$K$3:$K$1000,'Data entry'!$E$3:$E$1000,"Purchase",'Data entry'!$G$3:$G$1000,D26))</f>
        <v/>
      </c>
      <c r="J26" s="16" t="str">
        <f>IF(D26="","",SUMIFS('Data entry'!$J$3:$J$1000,'Data entry'!$E$3:$E$1000,"Sale",'Data entry'!$G$3:$G$1000,D26))</f>
        <v/>
      </c>
      <c r="K26" s="16" t="str">
        <f>IF(D26="","",SUMIFS('Data entry'!$J$3:$J$1000,'Data entry'!$E$3:$E$1000,"Purchase",'Data entry'!$G$3:$G$1000,D26))</f>
        <v/>
      </c>
      <c r="L26" s="16" t="str">
        <f t="shared" si="0"/>
        <v/>
      </c>
      <c r="M26" s="15"/>
      <c r="N26" s="16" t="str">
        <f t="shared" si="1"/>
        <v/>
      </c>
      <c r="O26" s="44"/>
      <c r="P26" s="45"/>
      <c r="Q26" s="46" t="str">
        <f>IF(O26="","",SUMIFS('Data entry'!$K$3:$K$1000,'Data entry'!$E$3:$E$1000,"Supply",'Data entry'!$G$3:$G$1000,O26))</f>
        <v/>
      </c>
      <c r="R26" s="46" t="str">
        <f t="shared" si="2"/>
        <v/>
      </c>
      <c r="S26" s="43"/>
      <c r="T26" s="47" t="str">
        <f>IF(O26="","",SUMIFS('Data entry'!$J$3:$J$1000,'Data entry'!$E$3:$E$1000,"Supply",'Data entry'!$F$3:$F$1000,O26))</f>
        <v/>
      </c>
      <c r="U26" s="48"/>
      <c r="V26" s="48" t="str">
        <f t="shared" si="4"/>
        <v/>
      </c>
      <c r="W26" s="43" t="str">
        <f t="shared" si="3"/>
        <v/>
      </c>
    </row>
    <row r="27" spans="1:23" ht="15" thickBot="1" x14ac:dyDescent="0.35">
      <c r="A27" s="20"/>
      <c r="B27" s="36"/>
      <c r="C27" s="15"/>
      <c r="D27" s="15"/>
      <c r="E27" s="42">
        <v>50</v>
      </c>
      <c r="F27" s="15"/>
      <c r="G27" s="17" t="str">
        <f>IF(D27="","",SUMIFS('Data entry'!$K$3:$K$1000,'Data entry'!$E$3:$E$1000,"Purchase",'Data entry'!$G$3:$G$1000,D27))</f>
        <v/>
      </c>
      <c r="H27" s="17" t="str">
        <f>IF(D27="","",SUMIFS('Data entry'!$K$3:$K$1000,'Data entry'!$E$3:$E$1000,"Sale",'Data entry'!$G$3:$G$1000,D27))</f>
        <v/>
      </c>
      <c r="I27" s="17" t="str">
        <f>IF(D27="","",SUMIFS('Data entry'!$K$3:$K$1000,'Data entry'!$E$3:$E$1000,"Sale",'Data entry'!$G$3:$G$1000,D27)-SUMIFS('Data entry'!$K$3:$K$1000,'Data entry'!$E$3:$E$1000,"Purchase",'Data entry'!$G$3:$G$1000,D27))</f>
        <v/>
      </c>
      <c r="J27" s="16" t="str">
        <f>IF(D27="","",SUMIFS('Data entry'!$J$3:$J$1000,'Data entry'!$E$3:$E$1000,"Sale",'Data entry'!$G$3:$G$1000,D27))</f>
        <v/>
      </c>
      <c r="K27" s="16" t="str">
        <f>IF(D27="","",SUMIFS('Data entry'!$J$3:$J$1000,'Data entry'!$E$3:$E$1000,"Purchase",'Data entry'!$G$3:$G$1000,D27))</f>
        <v/>
      </c>
      <c r="L27" s="16" t="str">
        <f t="shared" si="0"/>
        <v/>
      </c>
      <c r="M27" s="15"/>
      <c r="N27" s="16" t="str">
        <f t="shared" si="1"/>
        <v/>
      </c>
      <c r="Q27" s="46" t="str">
        <f>IF(O27="","",SUMIFS('Data entry'!$K$3:$K$1000,'Data entry'!$E$3:$E$1000,"Supply",'Data entry'!$G$3:$G$1000,O27))</f>
        <v/>
      </c>
      <c r="R27" s="46" t="str">
        <f t="shared" si="2"/>
        <v/>
      </c>
      <c r="S27" s="43"/>
      <c r="T27" s="47" t="str">
        <f>IF(O27="","",SUMIFS('Data entry'!$J$3:$J$1000,'Data entry'!$E$3:$E$1000,"Supply",'Data entry'!$F$3:$F$1000,O27))</f>
        <v/>
      </c>
      <c r="U27" s="48"/>
      <c r="V27" s="48" t="str">
        <f t="shared" si="4"/>
        <v/>
      </c>
      <c r="W27" s="43" t="str">
        <f t="shared" si="3"/>
        <v/>
      </c>
    </row>
    <row r="28" spans="1:23" ht="15" thickBot="1" x14ac:dyDescent="0.35">
      <c r="A28" s="20"/>
      <c r="B28" s="36"/>
      <c r="C28" s="15"/>
      <c r="D28" s="15"/>
      <c r="E28" s="42">
        <v>20</v>
      </c>
      <c r="F28" s="15"/>
      <c r="G28" s="17" t="str">
        <f>IF(D28="","",SUMIFS('Data entry'!$K$3:$K$1000,'Data entry'!$E$3:$E$1000,"Purchase",'Data entry'!$G$3:$G$1000,D28))</f>
        <v/>
      </c>
      <c r="H28" s="17" t="str">
        <f>IF(D28="","",SUMIFS('Data entry'!$K$3:$K$1000,'Data entry'!$E$3:$E$1000,"Sale",'Data entry'!$G$3:$G$1000,D28))</f>
        <v/>
      </c>
      <c r="I28" s="17" t="str">
        <f>IF(D28="","",SUMIFS('Data entry'!$K$3:$K$1000,'Data entry'!$E$3:$E$1000,"Sale",'Data entry'!$G$3:$G$1000,D28)-SUMIFS('Data entry'!$K$3:$K$1000,'Data entry'!$E$3:$E$1000,"Purchase",'Data entry'!$G$3:$G$1000,D28))</f>
        <v/>
      </c>
      <c r="J28" s="16" t="str">
        <f>IF(D28="","",SUMIFS('Data entry'!$J$3:$J$1000,'Data entry'!$E$3:$E$1000,"Sale",'Data entry'!$G$3:$G$1000,D28))</f>
        <v/>
      </c>
      <c r="K28" s="16" t="str">
        <f>IF(D28="","",SUMIFS('Data entry'!$J$3:$J$1000,'Data entry'!$E$3:$E$1000,"Purchase",'Data entry'!$G$3:$G$1000,D28))</f>
        <v/>
      </c>
      <c r="L28" s="16" t="str">
        <f t="shared" si="0"/>
        <v/>
      </c>
      <c r="M28" s="15"/>
      <c r="N28" s="16" t="str">
        <f t="shared" si="1"/>
        <v/>
      </c>
      <c r="Q28" s="46" t="str">
        <f>IF(O28="","",SUMIFS('Data entry'!$K$3:$K$1000,'Data entry'!$E$3:$E$1000,"Supply",'Data entry'!$G$3:$G$1000,O28))</f>
        <v/>
      </c>
      <c r="R28" s="46" t="str">
        <f t="shared" si="2"/>
        <v/>
      </c>
      <c r="S28" s="43"/>
      <c r="T28" s="47" t="str">
        <f>IF(O28="","",SUMIFS('Data entry'!$J$3:$J$1000,'Data entry'!$E$3:$E$1000,"Supply",'Data entry'!$F$3:$F$1000,O28))</f>
        <v/>
      </c>
      <c r="U28" s="48"/>
      <c r="V28" s="48" t="str">
        <f t="shared" si="4"/>
        <v/>
      </c>
      <c r="W28" s="43" t="str">
        <f t="shared" si="3"/>
        <v/>
      </c>
    </row>
    <row r="29" spans="1:23" ht="15" thickBot="1" x14ac:dyDescent="0.35">
      <c r="A29" s="20"/>
      <c r="B29" s="36"/>
      <c r="C29" s="15"/>
      <c r="D29" s="15"/>
      <c r="E29" s="42">
        <v>30</v>
      </c>
      <c r="F29" s="15"/>
      <c r="G29" s="17" t="str">
        <f>IF(D29="","",SUMIFS('Data entry'!$K$3:$K$1000,'Data entry'!$E$3:$E$1000,"Purchase",'Data entry'!$G$3:$G$1000,D29))</f>
        <v/>
      </c>
      <c r="H29" s="17" t="str">
        <f>IF(D29="","",SUMIFS('Data entry'!$K$3:$K$1000,'Data entry'!$E$3:$E$1000,"Sale",'Data entry'!$G$3:$G$1000,D29))</f>
        <v/>
      </c>
      <c r="I29" s="17" t="str">
        <f>IF(D29="","",SUMIFS('Data entry'!$K$3:$K$1000,'Data entry'!$E$3:$E$1000,"Sale",'Data entry'!$G$3:$G$1000,D29)-SUMIFS('Data entry'!$K$3:$K$1000,'Data entry'!$E$3:$E$1000,"Purchase",'Data entry'!$G$3:$G$1000,D29))</f>
        <v/>
      </c>
      <c r="J29" s="16" t="str">
        <f>IF(D29="","",SUMIFS('Data entry'!$J$3:$J$1000,'Data entry'!$E$3:$E$1000,"Sale",'Data entry'!$G$3:$G$1000,D29))</f>
        <v/>
      </c>
      <c r="K29" s="16" t="str">
        <f>IF(D29="","",SUMIFS('Data entry'!$J$3:$J$1000,'Data entry'!$E$3:$E$1000,"Purchase",'Data entry'!$G$3:$G$1000,D29))</f>
        <v/>
      </c>
      <c r="L29" s="16" t="str">
        <f t="shared" si="0"/>
        <v/>
      </c>
      <c r="M29" s="15"/>
      <c r="N29" s="16" t="str">
        <f t="shared" si="1"/>
        <v/>
      </c>
      <c r="Q29" s="46" t="str">
        <f>IF(O29="","",SUMIFS('Data entry'!$K$3:$K$1000,'Data entry'!$E$3:$E$1000,"Supply",'Data entry'!$G$3:$G$1000,O29))</f>
        <v/>
      </c>
      <c r="R29" s="46" t="str">
        <f t="shared" si="2"/>
        <v/>
      </c>
      <c r="S29" s="43"/>
      <c r="T29" s="47" t="str">
        <f>IF(O29="","",SUMIFS('Data entry'!$J$3:$J$1000,'Data entry'!$E$3:$E$1000,"Supply",'Data entry'!$F$3:$F$1000,O29))</f>
        <v/>
      </c>
      <c r="U29" s="48"/>
      <c r="V29" s="48" t="str">
        <f t="shared" si="4"/>
        <v/>
      </c>
      <c r="W29" s="43" t="str">
        <f t="shared" si="3"/>
        <v/>
      </c>
    </row>
    <row r="30" spans="1:23" ht="15" thickBot="1" x14ac:dyDescent="0.35">
      <c r="A30" s="20"/>
      <c r="B30" s="36"/>
      <c r="C30" s="15"/>
      <c r="D30" s="15"/>
      <c r="E30" s="42">
        <v>20</v>
      </c>
      <c r="F30" s="15"/>
      <c r="G30" s="17" t="str">
        <f>IF(D30="","",SUMIFS('Data entry'!$K$3:$K$1000,'Data entry'!$E$3:$E$1000,"Purchase",'Data entry'!$G$3:$G$1000,D30))</f>
        <v/>
      </c>
      <c r="H30" s="17" t="str">
        <f>IF(D30="","",SUMIFS('Data entry'!$K$3:$K$1000,'Data entry'!$E$3:$E$1000,"Sale",'Data entry'!$G$3:$G$1000,D30))</f>
        <v/>
      </c>
      <c r="I30" s="17" t="str">
        <f>IF(D30="","",SUMIFS('Data entry'!$K$3:$K$1000,'Data entry'!$E$3:$E$1000,"Sale",'Data entry'!$G$3:$G$1000,D30)-SUMIFS('Data entry'!$K$3:$K$1000,'Data entry'!$E$3:$E$1000,"Purchase",'Data entry'!$G$3:$G$1000,D30))</f>
        <v/>
      </c>
      <c r="J30" s="16" t="str">
        <f>IF(D30="","",SUMIFS('Data entry'!$J$3:$J$1000,'Data entry'!$E$3:$E$1000,"Sale",'Data entry'!$G$3:$G$1000,D30))</f>
        <v/>
      </c>
      <c r="K30" s="16" t="str">
        <f>IF(D30="","",SUMIFS('Data entry'!$J$3:$J$1000,'Data entry'!$E$3:$E$1000,"Purchase",'Data entry'!$G$3:$G$1000,D30))</f>
        <v/>
      </c>
      <c r="L30" s="16" t="str">
        <f t="shared" si="0"/>
        <v/>
      </c>
      <c r="M30" s="15"/>
      <c r="N30" s="16" t="str">
        <f t="shared" si="1"/>
        <v/>
      </c>
      <c r="Q30" s="46" t="str">
        <f>IF(O30="","",SUMIFS('Data entry'!$K$3:$K$1000,'Data entry'!$E$3:$E$1000,"Supply",'Data entry'!$G$3:$G$1000,O30))</f>
        <v/>
      </c>
      <c r="R30" s="46" t="str">
        <f t="shared" si="2"/>
        <v/>
      </c>
      <c r="S30" s="43"/>
      <c r="T30" s="47" t="str">
        <f>IF(O30="","",SUMIFS('Data entry'!$J$3:$J$1000,'Data entry'!$E$3:$E$1000,"Supply",'Data entry'!$F$3:$F$1000,O30))</f>
        <v/>
      </c>
      <c r="U30" s="48"/>
      <c r="V30" s="48" t="str">
        <f t="shared" si="4"/>
        <v/>
      </c>
      <c r="W30" s="43" t="str">
        <f t="shared" si="3"/>
        <v/>
      </c>
    </row>
    <row r="31" spans="1:23" ht="15" thickBot="1" x14ac:dyDescent="0.35">
      <c r="A31" s="20"/>
      <c r="B31" s="36"/>
      <c r="C31" s="15"/>
      <c r="D31" s="15"/>
      <c r="E31" s="42">
        <v>50</v>
      </c>
      <c r="F31" s="15"/>
      <c r="G31" s="17" t="str">
        <f>IF(D31="","",SUMIFS('Data entry'!$K$3:$K$1000,'Data entry'!$E$3:$E$1000,"Purchase",'Data entry'!$G$3:$G$1000,D31))</f>
        <v/>
      </c>
      <c r="H31" s="17" t="str">
        <f>IF(D31="","",SUMIFS('Data entry'!$K$3:$K$1000,'Data entry'!$E$3:$E$1000,"Sale",'Data entry'!$G$3:$G$1000,D31))</f>
        <v/>
      </c>
      <c r="I31" s="17" t="str">
        <f>IF(D31="","",SUMIFS('Data entry'!$K$3:$K$1000,'Data entry'!$E$3:$E$1000,"Sale",'Data entry'!$G$3:$G$1000,D31)-SUMIFS('Data entry'!$K$3:$K$1000,'Data entry'!$E$3:$E$1000,"Purchase",'Data entry'!$G$3:$G$1000,D31))</f>
        <v/>
      </c>
      <c r="J31" s="16" t="str">
        <f>IF(D31="","",SUMIFS('Data entry'!$J$3:$J$1000,'Data entry'!$E$3:$E$1000,"Sale",'Data entry'!$G$3:$G$1000,D31))</f>
        <v/>
      </c>
      <c r="K31" s="16" t="str">
        <f>IF(D31="","",SUMIFS('Data entry'!$J$3:$J$1000,'Data entry'!$E$3:$E$1000,"Purchase",'Data entry'!$G$3:$G$1000,D31))</f>
        <v/>
      </c>
      <c r="L31" s="16" t="str">
        <f t="shared" si="0"/>
        <v/>
      </c>
      <c r="M31" s="15"/>
      <c r="N31" s="16" t="str">
        <f t="shared" si="1"/>
        <v/>
      </c>
      <c r="Q31" s="46" t="str">
        <f>IF(O31="","",SUMIFS('Data entry'!$K$3:$K$1000,'Data entry'!$E$3:$E$1000,"Supply",'Data entry'!$G$3:$G$1000,O31))</f>
        <v/>
      </c>
      <c r="R31" s="46" t="str">
        <f t="shared" si="2"/>
        <v/>
      </c>
      <c r="S31" s="43"/>
      <c r="T31" s="47" t="str">
        <f>IF(O31="","",SUMIFS('Data entry'!$J$3:$J$1000,'Data entry'!$E$3:$E$1000,"Supply",'Data entry'!$F$3:$F$1000,O31))</f>
        <v/>
      </c>
      <c r="U31" s="48"/>
      <c r="V31" s="48" t="str">
        <f t="shared" si="4"/>
        <v/>
      </c>
      <c r="W31" s="43" t="str">
        <f t="shared" si="3"/>
        <v/>
      </c>
    </row>
    <row r="32" spans="1:23" ht="15" thickBot="1" x14ac:dyDescent="0.35">
      <c r="A32" s="20"/>
      <c r="B32" s="36"/>
      <c r="C32" s="15"/>
      <c r="D32" s="15"/>
      <c r="E32" s="42"/>
      <c r="F32" s="15"/>
      <c r="G32" s="17" t="str">
        <f>IF(D32="","",SUMIFS('Data entry'!$K$3:$K$1000,'Data entry'!$E$3:$E$1000,"Purchase",'Data entry'!$G$3:$G$1000,D32))</f>
        <v/>
      </c>
      <c r="H32" s="17" t="str">
        <f>IF(D32="","",SUMIFS('Data entry'!$K$3:$K$1000,'Data entry'!$E$3:$E$1000,"Sale",'Data entry'!$G$3:$G$1000,D32))</f>
        <v/>
      </c>
      <c r="I32" s="17" t="str">
        <f>IF(D32="","",SUMIFS('Data entry'!$K$3:$K$1000,'Data entry'!$E$3:$E$1000,"Sale",'Data entry'!$G$3:$G$1000,D32)-SUMIFS('Data entry'!$K$3:$K$1000,'Data entry'!$E$3:$E$1000,"Purchase",'Data entry'!$G$3:$G$1000,D32))</f>
        <v/>
      </c>
      <c r="J32" s="16" t="str">
        <f>IF(D32="","",SUMIFS('Data entry'!$J$3:$J$1000,'Data entry'!$E$3:$E$1000,"Sale",'Data entry'!$G$3:$G$1000,D32))</f>
        <v/>
      </c>
      <c r="K32" s="16" t="str">
        <f>IF(D32="","",SUMIFS('Data entry'!$J$3:$J$1000,'Data entry'!$E$3:$E$1000,"Purchase",'Data entry'!$G$3:$G$1000,D32))</f>
        <v/>
      </c>
      <c r="L32" s="16" t="str">
        <f t="shared" si="0"/>
        <v/>
      </c>
      <c r="M32" s="15"/>
      <c r="N32" s="16" t="str">
        <f t="shared" si="1"/>
        <v/>
      </c>
      <c r="O32" s="44"/>
      <c r="P32" s="45"/>
      <c r="Q32" s="46" t="str">
        <f>IF(O32="","",SUMIFS('Data entry'!$K$3:$K$1000,'Data entry'!$E$3:$E$1000,"Supply",'Data entry'!$G$3:$G$1000,O32))</f>
        <v/>
      </c>
      <c r="R32" s="46" t="str">
        <f t="shared" si="2"/>
        <v/>
      </c>
      <c r="S32" s="43"/>
      <c r="T32" s="47" t="str">
        <f>IF(O32="","",SUMIFS('Data entry'!$J$3:$J$1000,'Data entry'!$E$3:$E$1000,"Supply",'Data entry'!$F$3:$F$1000,O32))</f>
        <v/>
      </c>
      <c r="U32" s="48"/>
      <c r="V32" s="48" t="str">
        <f t="shared" si="4"/>
        <v/>
      </c>
      <c r="W32" s="43" t="str">
        <f t="shared" si="3"/>
        <v/>
      </c>
    </row>
    <row r="33" spans="2:23" ht="15" thickBot="1" x14ac:dyDescent="0.35">
      <c r="B33" s="36"/>
      <c r="C33" s="15"/>
      <c r="D33" s="15"/>
      <c r="E33" s="42"/>
      <c r="F33" s="15"/>
      <c r="G33" s="17" t="str">
        <f>IF(D33="","",SUMIFS('Data entry'!$K$3:$K$1000,'Data entry'!$E$3:$E$1000,"Purchase",'Data entry'!$G$3:$G$1000,D33))</f>
        <v/>
      </c>
      <c r="H33" s="17" t="str">
        <f>IF(D33="","",SUMIFS('Data entry'!$K$3:$K$1000,'Data entry'!$E$3:$E$1000,"Sale",'Data entry'!$G$3:$G$1000,D33))</f>
        <v/>
      </c>
      <c r="I33" s="17" t="str">
        <f>IF(D33="","",SUMIFS('Data entry'!$K$3:$K$1000,'Data entry'!$E$3:$E$1000,"Sale",'Data entry'!$G$3:$G$1000,D33)-SUMIFS('Data entry'!$K$3:$K$1000,'Data entry'!$E$3:$E$1000,"Purchase",'Data entry'!$G$3:$G$1000,D33))</f>
        <v/>
      </c>
      <c r="J33" s="16" t="str">
        <f>IF(D33="","",SUMIFS('Data entry'!$J$3:$J$1000,'Data entry'!$E$3:$E$1000,"Sale",'Data entry'!$G$3:$G$1000,D33))</f>
        <v/>
      </c>
      <c r="K33" s="16" t="str">
        <f>IF(D33="","",SUMIFS('Data entry'!$J$3:$J$1000,'Data entry'!$E$3:$E$1000,"Purchase",'Data entry'!$G$3:$G$1000,D33))</f>
        <v/>
      </c>
      <c r="L33" s="16" t="str">
        <f t="shared" si="0"/>
        <v/>
      </c>
      <c r="M33" s="15"/>
      <c r="N33" s="16" t="str">
        <f t="shared" si="1"/>
        <v/>
      </c>
      <c r="O33" s="44"/>
      <c r="P33" s="45"/>
      <c r="Q33" s="46" t="str">
        <f>IF(O33="","",SUMIFS('Data entry'!$K$3:$K$1000,'Data entry'!$E$3:$E$1000,"Supply",'Data entry'!$G$3:$G$1000,O33))</f>
        <v/>
      </c>
      <c r="R33" s="46" t="str">
        <f t="shared" si="2"/>
        <v/>
      </c>
      <c r="S33" s="43"/>
      <c r="T33" s="47" t="str">
        <f>IF(O33="","",SUMIFS('Data entry'!$J$3:$J$1000,'Data entry'!$E$3:$E$1000,"Supply",'Data entry'!$F$3:$F$1000,O33))</f>
        <v/>
      </c>
      <c r="U33" s="48"/>
      <c r="V33" s="48" t="str">
        <f t="shared" si="4"/>
        <v/>
      </c>
      <c r="W33" s="43" t="str">
        <f t="shared" si="3"/>
        <v/>
      </c>
    </row>
    <row r="34" spans="2:23" ht="15" thickBot="1" x14ac:dyDescent="0.35">
      <c r="B34" s="36"/>
      <c r="C34" s="15"/>
      <c r="D34" s="15"/>
      <c r="E34" s="42"/>
      <c r="F34" s="15"/>
      <c r="G34" s="17" t="str">
        <f>IF(D34="","",SUMIFS('Data entry'!$K$3:$K$1000,'Data entry'!$E$3:$E$1000,"Purchase",'Data entry'!$G$3:$G$1000,D34))</f>
        <v/>
      </c>
      <c r="H34" s="17" t="str">
        <f>IF(D34="","",SUMIFS('Data entry'!$K$3:$K$1000,'Data entry'!$E$3:$E$1000,"Sale",'Data entry'!$G$3:$G$1000,D34))</f>
        <v/>
      </c>
      <c r="I34" s="17" t="str">
        <f>IF(D34="","",SUMIFS('Data entry'!$K$3:$K$1000,'Data entry'!$E$3:$E$1000,"Sale",'Data entry'!$G$3:$G$1000,D34)-SUMIFS('Data entry'!$K$3:$K$1000,'Data entry'!$E$3:$E$1000,"Purchase",'Data entry'!$G$3:$G$1000,D34))</f>
        <v/>
      </c>
      <c r="J34" s="16" t="str">
        <f>IF(D34="","",SUMIFS('Data entry'!$J$3:$J$1000,'Data entry'!$E$3:$E$1000,"Sale",'Data entry'!$G$3:$G$1000,D34))</f>
        <v/>
      </c>
      <c r="K34" s="16" t="str">
        <f>IF(D34="","",SUMIFS('Data entry'!$J$3:$J$1000,'Data entry'!$E$3:$E$1000,"Purchase",'Data entry'!$G$3:$G$1000,D34))</f>
        <v/>
      </c>
      <c r="L34" s="16" t="str">
        <f t="shared" si="0"/>
        <v/>
      </c>
      <c r="M34" s="15"/>
      <c r="N34" s="16" t="str">
        <f t="shared" si="1"/>
        <v/>
      </c>
      <c r="O34" s="44"/>
      <c r="P34" s="45"/>
      <c r="Q34" s="46" t="str">
        <f>IF(O34="","",SUMIFS('Data entry'!$K$3:$K$1000,'Data entry'!$E$3:$E$1000,"Supply",'Data entry'!$G$3:$G$1000,O34))</f>
        <v/>
      </c>
      <c r="R34" s="46" t="str">
        <f t="shared" si="2"/>
        <v/>
      </c>
      <c r="S34" s="43"/>
      <c r="T34" s="47" t="str">
        <f>IF(O34="","",SUMIFS('Data entry'!$J$3:$J$1000,'Data entry'!$E$3:$E$1000,"Supply",'Data entry'!$F$3:$F$1000,O34))</f>
        <v/>
      </c>
      <c r="U34" s="48"/>
      <c r="V34" s="48" t="str">
        <f t="shared" si="4"/>
        <v/>
      </c>
      <c r="W34" s="43" t="str">
        <f t="shared" si="3"/>
        <v/>
      </c>
    </row>
    <row r="35" spans="2:23" ht="15" thickBot="1" x14ac:dyDescent="0.35">
      <c r="B35" s="36"/>
      <c r="C35" s="15"/>
      <c r="D35" s="15"/>
      <c r="E35" s="42"/>
      <c r="F35" s="15"/>
      <c r="G35" s="17" t="str">
        <f>IF(D35="","",SUMIFS('Data entry'!$K$3:$K$1000,'Data entry'!$E$3:$E$1000,"Purchase",'Data entry'!$G$3:$G$1000,D35))</f>
        <v/>
      </c>
      <c r="H35" s="17" t="str">
        <f>IF(D35="","",SUMIFS('Data entry'!$K$3:$K$1000,'Data entry'!$E$3:$E$1000,"Sale",'Data entry'!$G$3:$G$1000,D35))</f>
        <v/>
      </c>
      <c r="I35" s="17" t="str">
        <f>IF(D35="","",SUMIFS('Data entry'!$K$3:$K$1000,'Data entry'!$E$3:$E$1000,"Sale",'Data entry'!$G$3:$G$1000,D35)-SUMIFS('Data entry'!$K$3:$K$1000,'Data entry'!$E$3:$E$1000,"Purchase",'Data entry'!$G$3:$G$1000,D35))</f>
        <v/>
      </c>
      <c r="J35" s="16" t="str">
        <f>IF(D35="","",SUMIFS('Data entry'!$J$3:$J$1000,'Data entry'!$E$3:$E$1000,"Sale",'Data entry'!$G$3:$G$1000,D35))</f>
        <v/>
      </c>
      <c r="K35" s="16" t="str">
        <f>IF(D35="","",SUMIFS('Data entry'!$J$3:$J$1000,'Data entry'!$E$3:$E$1000,"Purchase",'Data entry'!$G$3:$G$1000,D35))</f>
        <v/>
      </c>
      <c r="L35" s="16" t="str">
        <f t="shared" ref="L35:L66" si="5">IFERROR(F35+K35-J35,"")</f>
        <v/>
      </c>
      <c r="M35" s="15"/>
      <c r="N35" s="16" t="str">
        <f t="shared" si="1"/>
        <v/>
      </c>
      <c r="O35" s="44"/>
      <c r="P35" s="45"/>
      <c r="Q35" s="46" t="str">
        <f>IF(O35="","",SUMIFS('Data entry'!$K$3:$K$1000,'Data entry'!$E$3:$E$1000,"Supply",'Data entry'!$G$3:$G$1000,O35))</f>
        <v/>
      </c>
      <c r="R35" s="46" t="str">
        <f t="shared" si="2"/>
        <v/>
      </c>
      <c r="S35" s="43"/>
      <c r="T35" s="47" t="str">
        <f>IF(O35="","",SUMIFS('Data entry'!$J$3:$J$1000,'Data entry'!$E$3:$E$1000,"Supply",'Data entry'!$F$3:$F$1000,O35))</f>
        <v/>
      </c>
      <c r="U35" s="48"/>
      <c r="V35" s="48" t="str">
        <f t="shared" si="4"/>
        <v/>
      </c>
      <c r="W35" s="43" t="str">
        <f t="shared" si="3"/>
        <v/>
      </c>
    </row>
    <row r="36" spans="2:23" ht="15" thickBot="1" x14ac:dyDescent="0.35">
      <c r="B36" s="36"/>
      <c r="C36" s="15"/>
      <c r="D36" s="15"/>
      <c r="E36" s="42"/>
      <c r="F36" s="15"/>
      <c r="G36" s="17" t="str">
        <f>IF(D36="","",SUMIFS('Data entry'!$K$3:$K$1000,'Data entry'!$E$3:$E$1000,"Purchase",'Data entry'!$G$3:$G$1000,D36))</f>
        <v/>
      </c>
      <c r="H36" s="17" t="str">
        <f>IF(D36="","",SUMIFS('Data entry'!$K$3:$K$1000,'Data entry'!$E$3:$E$1000,"Sale",'Data entry'!$G$3:$G$1000,D36))</f>
        <v/>
      </c>
      <c r="I36" s="17" t="str">
        <f>IF(D36="","",SUMIFS('Data entry'!$K$3:$K$1000,'Data entry'!$E$3:$E$1000,"Sale",'Data entry'!$G$3:$G$1000,D36)-SUMIFS('Data entry'!$K$3:$K$1000,'Data entry'!$E$3:$E$1000,"Purchase",'Data entry'!$G$3:$G$1000,D36))</f>
        <v/>
      </c>
      <c r="J36" s="16" t="str">
        <f>IF(D36="","",SUMIFS('Data entry'!$J$3:$J$1000,'Data entry'!$E$3:$E$1000,"Sale",'Data entry'!$G$3:$G$1000,D36))</f>
        <v/>
      </c>
      <c r="K36" s="16" t="str">
        <f>IF(D36="","",SUMIFS('Data entry'!$J$3:$J$1000,'Data entry'!$E$3:$E$1000,"Purchase",'Data entry'!$G$3:$G$1000,D36))</f>
        <v/>
      </c>
      <c r="L36" s="16" t="str">
        <f t="shared" si="5"/>
        <v/>
      </c>
      <c r="M36" s="15"/>
      <c r="N36" s="16" t="str">
        <f t="shared" si="1"/>
        <v/>
      </c>
      <c r="O36" s="44"/>
      <c r="P36" s="45"/>
      <c r="Q36" s="46" t="str">
        <f>IF(O36="","",SUMIFS('Data entry'!$K$3:$K$1000,'Data entry'!$E$3:$E$1000,"Supply",'Data entry'!$G$3:$G$1000,O36))</f>
        <v/>
      </c>
      <c r="R36" s="46" t="str">
        <f t="shared" si="2"/>
        <v/>
      </c>
      <c r="S36" s="43"/>
      <c r="T36" s="47" t="str">
        <f>IF(O36="","",SUMIFS('Data entry'!$J$3:$J$1000,'Data entry'!$E$3:$E$1000,"Supply",'Data entry'!$F$3:$F$1000,O36))</f>
        <v/>
      </c>
      <c r="U36" s="48"/>
      <c r="V36" s="48" t="str">
        <f t="shared" si="4"/>
        <v/>
      </c>
      <c r="W36" s="43" t="str">
        <f t="shared" si="3"/>
        <v/>
      </c>
    </row>
    <row r="37" spans="2:23" ht="15" thickBot="1" x14ac:dyDescent="0.35">
      <c r="B37" s="36"/>
      <c r="C37" s="15"/>
      <c r="D37" s="15"/>
      <c r="E37" s="42"/>
      <c r="F37" s="15"/>
      <c r="G37" s="17" t="str">
        <f>IF(D37="","",SUMIFS('Data entry'!$K$3:$K$1000,'Data entry'!$E$3:$E$1000,"Purchase",'Data entry'!$G$3:$G$1000,D37))</f>
        <v/>
      </c>
      <c r="H37" s="17" t="str">
        <f>IF(D37="","",SUMIFS('Data entry'!$K$3:$K$1000,'Data entry'!$E$3:$E$1000,"Sale",'Data entry'!$G$3:$G$1000,D37))</f>
        <v/>
      </c>
      <c r="I37" s="17" t="str">
        <f>IF(D37="","",SUMIFS('Data entry'!$K$3:$K$1000,'Data entry'!$E$3:$E$1000,"Sale",'Data entry'!$G$3:$G$1000,D37)-SUMIFS('Data entry'!$K$3:$K$1000,'Data entry'!$E$3:$E$1000,"Purchase",'Data entry'!$G$3:$G$1000,D37))</f>
        <v/>
      </c>
      <c r="J37" s="16" t="str">
        <f>IF(D37="","",SUMIFS('Data entry'!$J$3:$J$1000,'Data entry'!$E$3:$E$1000,"Sale",'Data entry'!$G$3:$G$1000,D37))</f>
        <v/>
      </c>
      <c r="K37" s="16" t="str">
        <f>IF(D37="","",SUMIFS('Data entry'!$J$3:$J$1000,'Data entry'!$E$3:$E$1000,"Purchase",'Data entry'!$G$3:$G$1000,D37))</f>
        <v/>
      </c>
      <c r="L37" s="16" t="str">
        <f t="shared" si="5"/>
        <v/>
      </c>
      <c r="M37" s="15"/>
      <c r="N37" s="16" t="str">
        <f t="shared" si="1"/>
        <v/>
      </c>
      <c r="O37" s="44"/>
      <c r="P37" s="45"/>
      <c r="Q37" s="46" t="str">
        <f>IF(O37="","",SUMIFS('Data entry'!$K$3:$K$1000,'Data entry'!$E$3:$E$1000,"Supply",'Data entry'!$G$3:$G$1000,O37))</f>
        <v/>
      </c>
      <c r="R37" s="46" t="str">
        <f t="shared" si="2"/>
        <v/>
      </c>
      <c r="S37" s="43"/>
      <c r="T37" s="47" t="str">
        <f>IF(O37="","",SUMIFS('Data entry'!$J$3:$J$1000,'Data entry'!$E$3:$E$1000,"Supply",'Data entry'!$F$3:$F$1000,O37))</f>
        <v/>
      </c>
      <c r="U37" s="48"/>
      <c r="V37" s="48" t="str">
        <f t="shared" si="4"/>
        <v/>
      </c>
      <c r="W37" s="43" t="str">
        <f t="shared" si="3"/>
        <v/>
      </c>
    </row>
    <row r="38" spans="2:23" ht="15" thickBot="1" x14ac:dyDescent="0.35">
      <c r="B38" s="36"/>
      <c r="C38" s="15"/>
      <c r="D38" s="15"/>
      <c r="E38" s="42"/>
      <c r="F38" s="15"/>
      <c r="G38" s="17" t="str">
        <f>IF(D38="","",SUMIFS('Data entry'!$K$3:$K$1000,'Data entry'!$E$3:$E$1000,"Purchase",'Data entry'!$G$3:$G$1000,D38))</f>
        <v/>
      </c>
      <c r="H38" s="17" t="str">
        <f>IF(D38="","",SUMIFS('Data entry'!$K$3:$K$1000,'Data entry'!$E$3:$E$1000,"Sale",'Data entry'!$G$3:$G$1000,D38))</f>
        <v/>
      </c>
      <c r="I38" s="17" t="str">
        <f>IF(D38="","",SUMIFS('Data entry'!$K$3:$K$1000,'Data entry'!$E$3:$E$1000,"Sale",'Data entry'!$G$3:$G$1000,D38)-SUMIFS('Data entry'!$K$3:$K$1000,'Data entry'!$E$3:$E$1000,"Purchase",'Data entry'!$G$3:$G$1000,D38))</f>
        <v/>
      </c>
      <c r="J38" s="16" t="str">
        <f>IF(D38="","",SUMIFS('Data entry'!$J$3:$J$1000,'Data entry'!$E$3:$E$1000,"Sale",'Data entry'!$G$3:$G$1000,D38))</f>
        <v/>
      </c>
      <c r="K38" s="16" t="str">
        <f>IF(D38="","",SUMIFS('Data entry'!$J$3:$J$1000,'Data entry'!$E$3:$E$1000,"Purchase",'Data entry'!$G$3:$G$1000,D38))</f>
        <v/>
      </c>
      <c r="L38" s="16" t="str">
        <f t="shared" si="5"/>
        <v/>
      </c>
      <c r="M38" s="15"/>
      <c r="N38" s="16" t="str">
        <f t="shared" si="1"/>
        <v/>
      </c>
      <c r="O38" s="44"/>
      <c r="P38" s="45"/>
      <c r="Q38" s="46" t="str">
        <f>IF(O38="","",SUMIFS('Data entry'!$K$3:$K$1000,'Data entry'!$E$3:$E$1000,"Supply",'Data entry'!$G$3:$G$1000,O38))</f>
        <v/>
      </c>
      <c r="R38" s="46" t="str">
        <f t="shared" si="2"/>
        <v/>
      </c>
      <c r="S38" s="43"/>
      <c r="T38" s="47" t="str">
        <f>IF(O38="","",SUMIFS('Data entry'!$J$3:$J$1000,'Data entry'!$E$3:$E$1000,"Supply",'Data entry'!$F$3:$F$1000,O38))</f>
        <v/>
      </c>
      <c r="U38" s="48"/>
      <c r="V38" s="48" t="str">
        <f t="shared" si="4"/>
        <v/>
      </c>
      <c r="W38" s="43" t="str">
        <f t="shared" si="3"/>
        <v/>
      </c>
    </row>
    <row r="39" spans="2:23" ht="15" thickBot="1" x14ac:dyDescent="0.35">
      <c r="B39" s="36"/>
      <c r="C39" s="15"/>
      <c r="D39" s="15"/>
      <c r="E39" s="42"/>
      <c r="F39" s="15"/>
      <c r="G39" s="17" t="str">
        <f>IF(D39="","",SUMIFS('Data entry'!$K$3:$K$1000,'Data entry'!$E$3:$E$1000,"Purchase",'Data entry'!$G$3:$G$1000,D39))</f>
        <v/>
      </c>
      <c r="H39" s="17" t="str">
        <f>IF(D39="","",SUMIFS('Data entry'!$K$3:$K$1000,'Data entry'!$E$3:$E$1000,"Sale",'Data entry'!$G$3:$G$1000,D39))</f>
        <v/>
      </c>
      <c r="I39" s="17" t="str">
        <f>IF(D39="","",SUMIFS('Data entry'!$K$3:$K$1000,'Data entry'!$E$3:$E$1000,"Sale",'Data entry'!$G$3:$G$1000,D39)-SUMIFS('Data entry'!$K$3:$K$1000,'Data entry'!$E$3:$E$1000,"Purchase",'Data entry'!$G$3:$G$1000,D39))</f>
        <v/>
      </c>
      <c r="J39" s="16" t="str">
        <f>IF(D39="","",SUMIFS('Data entry'!$J$3:$J$1000,'Data entry'!$E$3:$E$1000,"Sale",'Data entry'!$G$3:$G$1000,D39))</f>
        <v/>
      </c>
      <c r="K39" s="16" t="str">
        <f>IF(D39="","",SUMIFS('Data entry'!$J$3:$J$1000,'Data entry'!$E$3:$E$1000,"Purchase",'Data entry'!$G$3:$G$1000,D39))</f>
        <v/>
      </c>
      <c r="L39" s="16" t="str">
        <f t="shared" si="5"/>
        <v/>
      </c>
      <c r="M39" s="15"/>
      <c r="N39" s="16" t="str">
        <f t="shared" si="1"/>
        <v/>
      </c>
      <c r="O39" s="44"/>
      <c r="P39" s="45"/>
      <c r="Q39" s="46" t="str">
        <f>IF(O39="","",SUMIFS('Data entry'!$K$3:$K$1000,'Data entry'!$E$3:$E$1000,"Supply",'Data entry'!$G$3:$G$1000,O39))</f>
        <v/>
      </c>
      <c r="R39" s="46" t="str">
        <f t="shared" si="2"/>
        <v/>
      </c>
      <c r="S39" s="43"/>
      <c r="T39" s="47" t="str">
        <f>IF(O39="","",SUMIFS('Data entry'!$J$3:$J$1000,'Data entry'!$E$3:$E$1000,"Supply",'Data entry'!$F$3:$F$1000,O39))</f>
        <v/>
      </c>
      <c r="U39" s="48"/>
      <c r="V39" s="48" t="str">
        <f t="shared" si="4"/>
        <v/>
      </c>
      <c r="W39" s="43" t="str">
        <f t="shared" si="3"/>
        <v/>
      </c>
    </row>
    <row r="40" spans="2:23" ht="15" thickBot="1" x14ac:dyDescent="0.35">
      <c r="B40" s="36"/>
      <c r="C40" s="15"/>
      <c r="D40" s="15"/>
      <c r="E40" s="42"/>
      <c r="F40" s="15"/>
      <c r="G40" s="17" t="str">
        <f>IF(D40="","",SUMIFS('Data entry'!$K$3:$K$1000,'Data entry'!$E$3:$E$1000,"Purchase",'Data entry'!$G$3:$G$1000,D40))</f>
        <v/>
      </c>
      <c r="H40" s="17" t="str">
        <f>IF(D40="","",SUMIFS('Data entry'!$K$3:$K$1000,'Data entry'!$E$3:$E$1000,"Sale",'Data entry'!$G$3:$G$1000,D40))</f>
        <v/>
      </c>
      <c r="I40" s="17" t="str">
        <f>IF(D40="","",SUMIFS('Data entry'!$K$3:$K$1000,'Data entry'!$E$3:$E$1000,"Sale",'Data entry'!$G$3:$G$1000,D40)-SUMIFS('Data entry'!$K$3:$K$1000,'Data entry'!$E$3:$E$1000,"Purchase",'Data entry'!$G$3:$G$1000,D40))</f>
        <v/>
      </c>
      <c r="J40" s="16" t="str">
        <f>IF(D40="","",SUMIFS('Data entry'!$J$3:$J$1000,'Data entry'!$E$3:$E$1000,"Sale",'Data entry'!$G$3:$G$1000,D40))</f>
        <v/>
      </c>
      <c r="K40" s="16" t="str">
        <f>IF(D40="","",SUMIFS('Data entry'!$J$3:$J$1000,'Data entry'!$E$3:$E$1000,"Purchase",'Data entry'!$G$3:$G$1000,D40))</f>
        <v/>
      </c>
      <c r="L40" s="16" t="str">
        <f t="shared" si="5"/>
        <v/>
      </c>
      <c r="M40" s="15"/>
      <c r="N40" s="16" t="str">
        <f t="shared" si="1"/>
        <v/>
      </c>
      <c r="O40" s="44"/>
      <c r="P40" s="45"/>
      <c r="Q40" s="46" t="str">
        <f>IF(O40="","",SUMIFS('Data entry'!$K$3:$K$1000,'Data entry'!$E$3:$E$1000,"Supply",'Data entry'!$G$3:$G$1000,O40))</f>
        <v/>
      </c>
      <c r="R40" s="46" t="str">
        <f t="shared" si="2"/>
        <v/>
      </c>
      <c r="S40" s="43"/>
      <c r="T40" s="47" t="str">
        <f>IF(O40="","",SUMIFS('Data entry'!$J$3:$J$1000,'Data entry'!$E$3:$E$1000,"Supply",'Data entry'!$F$3:$F$1000,O40))</f>
        <v/>
      </c>
      <c r="U40" s="48"/>
      <c r="V40" s="48" t="str">
        <f t="shared" si="4"/>
        <v/>
      </c>
      <c r="W40" s="43" t="str">
        <f t="shared" si="3"/>
        <v/>
      </c>
    </row>
    <row r="41" spans="2:23" ht="15" thickBot="1" x14ac:dyDescent="0.35">
      <c r="B41" s="36"/>
      <c r="C41" s="15"/>
      <c r="D41" s="15"/>
      <c r="E41" s="42"/>
      <c r="F41" s="15"/>
      <c r="G41" s="17" t="str">
        <f>IF(D41="","",SUMIFS('Data entry'!$K$3:$K$1000,'Data entry'!$E$3:$E$1000,"Purchase",'Data entry'!$G$3:$G$1000,D41))</f>
        <v/>
      </c>
      <c r="H41" s="17" t="str">
        <f>IF(D41="","",SUMIFS('Data entry'!$K$3:$K$1000,'Data entry'!$E$3:$E$1000,"Sale",'Data entry'!$G$3:$G$1000,D41))</f>
        <v/>
      </c>
      <c r="I41" s="17" t="str">
        <f>IF(D41="","",SUMIFS('Data entry'!$K$3:$K$1000,'Data entry'!$E$3:$E$1000,"Sale",'Data entry'!$G$3:$G$1000,D41)-SUMIFS('Data entry'!$K$3:$K$1000,'Data entry'!$E$3:$E$1000,"Purchase",'Data entry'!$G$3:$G$1000,D41))</f>
        <v/>
      </c>
      <c r="J41" s="16" t="str">
        <f>IF(D41="","",SUMIFS('Data entry'!$J$3:$J$1000,'Data entry'!$E$3:$E$1000,"Sale",'Data entry'!$G$3:$G$1000,D41))</f>
        <v/>
      </c>
      <c r="K41" s="16" t="str">
        <f>IF(D41="","",SUMIFS('Data entry'!$J$3:$J$1000,'Data entry'!$E$3:$E$1000,"Purchase",'Data entry'!$G$3:$G$1000,D41))</f>
        <v/>
      </c>
      <c r="L41" s="16" t="str">
        <f t="shared" si="5"/>
        <v/>
      </c>
      <c r="M41" s="15"/>
      <c r="N41" s="16" t="str">
        <f t="shared" si="1"/>
        <v/>
      </c>
      <c r="O41" s="44"/>
      <c r="P41" s="45"/>
      <c r="Q41" s="46" t="str">
        <f>IF(O41="","",SUMIFS('Data entry'!$K$3:$K$1000,'Data entry'!$E$3:$E$1000,"Supply",'Data entry'!$G$3:$G$1000,O41))</f>
        <v/>
      </c>
      <c r="R41" s="46" t="str">
        <f t="shared" si="2"/>
        <v/>
      </c>
      <c r="S41" s="43"/>
      <c r="T41" s="47" t="str">
        <f>IF(O41="","",SUMIFS('Data entry'!$J$3:$J$1000,'Data entry'!$E$3:$E$1000,"Supply",'Data entry'!$F$3:$F$1000,O41))</f>
        <v/>
      </c>
      <c r="U41" s="48"/>
      <c r="V41" s="48" t="str">
        <f t="shared" si="4"/>
        <v/>
      </c>
      <c r="W41" s="43" t="str">
        <f t="shared" si="3"/>
        <v/>
      </c>
    </row>
    <row r="42" spans="2:23" ht="15" thickBot="1" x14ac:dyDescent="0.35">
      <c r="B42" s="36"/>
      <c r="C42" s="15"/>
      <c r="D42" s="15"/>
      <c r="E42" s="42"/>
      <c r="F42" s="15"/>
      <c r="G42" s="17" t="str">
        <f>IF(D42="","",SUMIFS('Data entry'!$K$3:$K$1000,'Data entry'!$E$3:$E$1000,"Purchase",'Data entry'!$G$3:$G$1000,D42))</f>
        <v/>
      </c>
      <c r="H42" s="17" t="str">
        <f>IF(D42="","",SUMIFS('Data entry'!$K$3:$K$1000,'Data entry'!$E$3:$E$1000,"Sale",'Data entry'!$G$3:$G$1000,D42))</f>
        <v/>
      </c>
      <c r="I42" s="17" t="str">
        <f>IF(D42="","",SUMIFS('Data entry'!$K$3:$K$1000,'Data entry'!$E$3:$E$1000,"Sale",'Data entry'!$G$3:$G$1000,D42)-SUMIFS('Data entry'!$K$3:$K$1000,'Data entry'!$E$3:$E$1000,"Purchase",'Data entry'!$G$3:$G$1000,D42))</f>
        <v/>
      </c>
      <c r="J42" s="16" t="str">
        <f>IF(D42="","",SUMIFS('Data entry'!$J$3:$J$1000,'Data entry'!$E$3:$E$1000,"Sale",'Data entry'!$G$3:$G$1000,D42))</f>
        <v/>
      </c>
      <c r="K42" s="16" t="str">
        <f>IF(D42="","",SUMIFS('Data entry'!$J$3:$J$1000,'Data entry'!$E$3:$E$1000,"Purchase",'Data entry'!$G$3:$G$1000,D42))</f>
        <v/>
      </c>
      <c r="L42" s="16" t="str">
        <f t="shared" si="5"/>
        <v/>
      </c>
      <c r="M42" s="15"/>
      <c r="N42" s="16" t="str">
        <f t="shared" si="1"/>
        <v/>
      </c>
      <c r="O42" s="44"/>
      <c r="P42" s="45"/>
      <c r="Q42" s="46" t="str">
        <f>IF(O42="","",SUMIFS('Data entry'!$K$3:$K$1000,'Data entry'!$E$3:$E$1000,"Supply",'Data entry'!$G$3:$G$1000,O42))</f>
        <v/>
      </c>
      <c r="R42" s="46" t="str">
        <f t="shared" si="2"/>
        <v/>
      </c>
      <c r="S42" s="43"/>
      <c r="T42" s="47" t="str">
        <f>IF(O42="","",SUMIFS('Data entry'!$J$3:$J$1000,'Data entry'!$E$3:$E$1000,"Supply",'Data entry'!$F$3:$F$1000,O42))</f>
        <v/>
      </c>
      <c r="U42" s="48"/>
      <c r="V42" s="48" t="str">
        <f t="shared" si="4"/>
        <v/>
      </c>
      <c r="W42" s="43" t="str">
        <f t="shared" si="3"/>
        <v/>
      </c>
    </row>
    <row r="43" spans="2:23" ht="15" thickBot="1" x14ac:dyDescent="0.35">
      <c r="B43" s="36"/>
      <c r="C43" s="15"/>
      <c r="D43" s="15"/>
      <c r="E43" s="42"/>
      <c r="F43" s="15"/>
      <c r="G43" s="17" t="str">
        <f>IF(D43="","",SUMIFS('Data entry'!$K$3:$K$1000,'Data entry'!$E$3:$E$1000,"Purchase",'Data entry'!$G$3:$G$1000,D43))</f>
        <v/>
      </c>
      <c r="H43" s="17" t="str">
        <f>IF(D43="","",SUMIFS('Data entry'!$K$3:$K$1000,'Data entry'!$E$3:$E$1000,"Sale",'Data entry'!$G$3:$G$1000,D43))</f>
        <v/>
      </c>
      <c r="I43" s="17" t="str">
        <f>IF(D43="","",SUMIFS('Data entry'!$K$3:$K$1000,'Data entry'!$E$3:$E$1000,"Sale",'Data entry'!$G$3:$G$1000,D43)-SUMIFS('Data entry'!$K$3:$K$1000,'Data entry'!$E$3:$E$1000,"Purchase",'Data entry'!$G$3:$G$1000,D43))</f>
        <v/>
      </c>
      <c r="J43" s="16" t="str">
        <f>IF(D43="","",SUMIFS('Data entry'!$J$3:$J$1000,'Data entry'!$E$3:$E$1000,"Sale",'Data entry'!$G$3:$G$1000,D43))</f>
        <v/>
      </c>
      <c r="K43" s="16" t="str">
        <f>IF(D43="","",SUMIFS('Data entry'!$J$3:$J$1000,'Data entry'!$E$3:$E$1000,"Purchase",'Data entry'!$G$3:$G$1000,D43))</f>
        <v/>
      </c>
      <c r="L43" s="16" t="str">
        <f t="shared" si="5"/>
        <v/>
      </c>
      <c r="M43" s="15"/>
      <c r="N43" s="16" t="str">
        <f t="shared" si="1"/>
        <v/>
      </c>
      <c r="O43" s="44"/>
      <c r="P43" s="45"/>
      <c r="Q43" s="46" t="str">
        <f>IF(O43="","",SUMIFS('Data entry'!$K$3:$K$1000,'Data entry'!$E$3:$E$1000,"Supply",'Data entry'!$G$3:$G$1000,O43))</f>
        <v/>
      </c>
      <c r="R43" s="46" t="str">
        <f t="shared" si="2"/>
        <v/>
      </c>
      <c r="S43" s="43"/>
      <c r="T43" s="47" t="str">
        <f>IF(O43="","",SUMIFS('Data entry'!$J$3:$J$1000,'Data entry'!$E$3:$E$1000,"Supply",'Data entry'!$F$3:$F$1000,O43))</f>
        <v/>
      </c>
      <c r="U43" s="48"/>
      <c r="V43" s="48" t="str">
        <f t="shared" si="4"/>
        <v/>
      </c>
      <c r="W43" s="43" t="str">
        <f t="shared" si="3"/>
        <v/>
      </c>
    </row>
    <row r="44" spans="2:23" ht="15" thickBot="1" x14ac:dyDescent="0.35">
      <c r="B44" s="36"/>
      <c r="C44" s="15"/>
      <c r="D44" s="15"/>
      <c r="E44" s="42"/>
      <c r="F44" s="15"/>
      <c r="G44" s="17" t="str">
        <f>IF(D44="","",SUMIFS('Data entry'!$K$3:$K$1000,'Data entry'!$E$3:$E$1000,"Purchase",'Data entry'!$G$3:$G$1000,D44))</f>
        <v/>
      </c>
      <c r="H44" s="17" t="str">
        <f>IF(D44="","",SUMIFS('Data entry'!$K$3:$K$1000,'Data entry'!$E$3:$E$1000,"Sale",'Data entry'!$G$3:$G$1000,D44))</f>
        <v/>
      </c>
      <c r="I44" s="17" t="str">
        <f>IF(D44="","",SUMIFS('Data entry'!$K$3:$K$1000,'Data entry'!$E$3:$E$1000,"Sale",'Data entry'!$G$3:$G$1000,D44)-SUMIFS('Data entry'!$K$3:$K$1000,'Data entry'!$E$3:$E$1000,"Purchase",'Data entry'!$G$3:$G$1000,D44))</f>
        <v/>
      </c>
      <c r="J44" s="16" t="str">
        <f>IF(D44="","",SUMIFS('Data entry'!$J$3:$J$1000,'Data entry'!$E$3:$E$1000,"Sale",'Data entry'!$G$3:$G$1000,D44))</f>
        <v/>
      </c>
      <c r="K44" s="16" t="str">
        <f>IF(D44="","",SUMIFS('Data entry'!$J$3:$J$1000,'Data entry'!$E$3:$E$1000,"Purchase",'Data entry'!$G$3:$G$1000,D44))</f>
        <v/>
      </c>
      <c r="L44" s="16" t="str">
        <f t="shared" si="5"/>
        <v/>
      </c>
      <c r="M44" s="15"/>
      <c r="N44" s="16" t="str">
        <f t="shared" si="1"/>
        <v/>
      </c>
      <c r="O44" s="44"/>
      <c r="P44" s="45"/>
      <c r="Q44" s="46" t="str">
        <f>IF(O44="","",SUMIFS('Data entry'!$K$3:$K$1000,'Data entry'!$E$3:$E$1000,"Supply",'Data entry'!$G$3:$G$1000,O44))</f>
        <v/>
      </c>
      <c r="R44" s="46" t="str">
        <f t="shared" si="2"/>
        <v/>
      </c>
      <c r="S44" s="43"/>
      <c r="T44" s="47" t="str">
        <f>IF(O44="","",SUMIFS('Data entry'!$J$3:$J$1000,'Data entry'!$E$3:$E$1000,"Supply",'Data entry'!$F$3:$F$1000,O44))</f>
        <v/>
      </c>
      <c r="U44" s="48"/>
      <c r="V44" s="48" t="str">
        <f t="shared" si="4"/>
        <v/>
      </c>
      <c r="W44" s="43" t="str">
        <f t="shared" si="3"/>
        <v/>
      </c>
    </row>
    <row r="45" spans="2:23" ht="15" thickBot="1" x14ac:dyDescent="0.35">
      <c r="B45" s="36"/>
      <c r="C45" s="15"/>
      <c r="D45" s="15"/>
      <c r="E45" s="42"/>
      <c r="F45" s="15"/>
      <c r="G45" s="17" t="str">
        <f>IF(D45="","",SUMIFS('Data entry'!$K$3:$K$1000,'Data entry'!$E$3:$E$1000,"Purchase",'Data entry'!$G$3:$G$1000,D45))</f>
        <v/>
      </c>
      <c r="H45" s="17" t="str">
        <f>IF(D45="","",SUMIFS('Data entry'!$K$3:$K$1000,'Data entry'!$E$3:$E$1000,"Sale",'Data entry'!$G$3:$G$1000,D45))</f>
        <v/>
      </c>
      <c r="I45" s="17" t="str">
        <f>IF(D45="","",SUMIFS('Data entry'!$K$3:$K$1000,'Data entry'!$E$3:$E$1000,"Sale",'Data entry'!$G$3:$G$1000,D45)-SUMIFS('Data entry'!$K$3:$K$1000,'Data entry'!$E$3:$E$1000,"Purchase",'Data entry'!$G$3:$G$1000,D45))</f>
        <v/>
      </c>
      <c r="J45" s="16" t="str">
        <f>IF(D45="","",SUMIFS('Data entry'!$J$3:$J$1000,'Data entry'!$E$3:$E$1000,"Sale",'Data entry'!$G$3:$G$1000,D45))</f>
        <v/>
      </c>
      <c r="K45" s="16" t="str">
        <f>IF(D45="","",SUMIFS('Data entry'!$J$3:$J$1000,'Data entry'!$E$3:$E$1000,"Purchase",'Data entry'!$G$3:$G$1000,D45))</f>
        <v/>
      </c>
      <c r="L45" s="16" t="str">
        <f t="shared" si="5"/>
        <v/>
      </c>
      <c r="M45" s="15"/>
      <c r="N45" s="16" t="str">
        <f t="shared" si="1"/>
        <v/>
      </c>
      <c r="O45" s="44"/>
      <c r="P45" s="45"/>
      <c r="Q45" s="46" t="str">
        <f>IF(O45="","",SUMIFS('Data entry'!$K$3:$K$1000,'Data entry'!$E$3:$E$1000,"Supply",'Data entry'!$G$3:$G$1000,O45))</f>
        <v/>
      </c>
      <c r="R45" s="46" t="str">
        <f t="shared" si="2"/>
        <v/>
      </c>
      <c r="S45" s="43"/>
      <c r="T45" s="47" t="str">
        <f>IF(O45="","",SUMIFS('Data entry'!$J$3:$J$1000,'Data entry'!$E$3:$E$1000,"Supply",'Data entry'!$F$3:$F$1000,O45))</f>
        <v/>
      </c>
      <c r="U45" s="48"/>
      <c r="V45" s="48" t="str">
        <f t="shared" si="4"/>
        <v/>
      </c>
      <c r="W45" s="43" t="str">
        <f t="shared" si="3"/>
        <v/>
      </c>
    </row>
    <row r="46" spans="2:23" ht="15" thickBot="1" x14ac:dyDescent="0.35">
      <c r="B46" s="36"/>
      <c r="C46" s="15"/>
      <c r="D46" s="15"/>
      <c r="E46" s="42"/>
      <c r="F46" s="15"/>
      <c r="G46" s="17" t="str">
        <f>IF(D46="","",SUMIFS('Data entry'!$K$3:$K$1000,'Data entry'!$E$3:$E$1000,"Purchase",'Data entry'!$G$3:$G$1000,D46))</f>
        <v/>
      </c>
      <c r="H46" s="17" t="str">
        <f>IF(D46="","",SUMIFS('Data entry'!$K$3:$K$1000,'Data entry'!$E$3:$E$1000,"Sale",'Data entry'!$G$3:$G$1000,D46))</f>
        <v/>
      </c>
      <c r="I46" s="17" t="str">
        <f>IF(D46="","",SUMIFS('Data entry'!$K$3:$K$1000,'Data entry'!$E$3:$E$1000,"Sale",'Data entry'!$G$3:$G$1000,D46)-SUMIFS('Data entry'!$K$3:$K$1000,'Data entry'!$E$3:$E$1000,"Purchase",'Data entry'!$G$3:$G$1000,D46))</f>
        <v/>
      </c>
      <c r="J46" s="16" t="str">
        <f>IF(D46="","",SUMIFS('Data entry'!$J$3:$J$1000,'Data entry'!$E$3:$E$1000,"Sale",'Data entry'!$G$3:$G$1000,D46))</f>
        <v/>
      </c>
      <c r="K46" s="16" t="str">
        <f>IF(D46="","",SUMIFS('Data entry'!$J$3:$J$1000,'Data entry'!$E$3:$E$1000,"Purchase",'Data entry'!$G$3:$G$1000,D46))</f>
        <v/>
      </c>
      <c r="L46" s="16" t="str">
        <f t="shared" si="5"/>
        <v/>
      </c>
      <c r="M46" s="15"/>
      <c r="N46" s="16" t="str">
        <f t="shared" si="1"/>
        <v/>
      </c>
      <c r="O46" s="44"/>
      <c r="P46" s="45"/>
      <c r="Q46" s="46" t="str">
        <f>IF(O46="","",SUMIFS('Data entry'!$K$3:$K$1000,'Data entry'!$E$3:$E$1000,"Supply",'Data entry'!$G$3:$G$1000,O46))</f>
        <v/>
      </c>
      <c r="R46" s="46" t="str">
        <f t="shared" si="2"/>
        <v/>
      </c>
      <c r="S46" s="43"/>
      <c r="T46" s="47" t="str">
        <f>IF(O46="","",SUMIFS('Data entry'!$J$3:$J$1000,'Data entry'!$E$3:$E$1000,"Supply",'Data entry'!$F$3:$F$1000,O46))</f>
        <v/>
      </c>
      <c r="U46" s="48"/>
      <c r="V46" s="48" t="str">
        <f t="shared" si="4"/>
        <v/>
      </c>
      <c r="W46" s="43" t="str">
        <f t="shared" si="3"/>
        <v/>
      </c>
    </row>
    <row r="47" spans="2:23" ht="15" thickBot="1" x14ac:dyDescent="0.35">
      <c r="B47" s="36"/>
      <c r="C47" s="15"/>
      <c r="D47" s="15"/>
      <c r="E47" s="42"/>
      <c r="F47" s="15"/>
      <c r="G47" s="17" t="str">
        <f>IF(D47="","",SUMIFS('Data entry'!$K$3:$K$1000,'Data entry'!$E$3:$E$1000,"Purchase",'Data entry'!$G$3:$G$1000,D47))</f>
        <v/>
      </c>
      <c r="H47" s="17" t="str">
        <f>IF(D47="","",SUMIFS('Data entry'!$K$3:$K$1000,'Data entry'!$E$3:$E$1000,"Sale",'Data entry'!$G$3:$G$1000,D47))</f>
        <v/>
      </c>
      <c r="I47" s="17" t="str">
        <f>IF(D47="","",SUMIFS('Data entry'!$K$3:$K$1000,'Data entry'!$E$3:$E$1000,"Sale",'Data entry'!$G$3:$G$1000,D47)-SUMIFS('Data entry'!$K$3:$K$1000,'Data entry'!$E$3:$E$1000,"Purchase",'Data entry'!$G$3:$G$1000,D47))</f>
        <v/>
      </c>
      <c r="J47" s="16" t="str">
        <f>IF(D47="","",SUMIFS('Data entry'!$J$3:$J$1000,'Data entry'!$E$3:$E$1000,"Sale",'Data entry'!$G$3:$G$1000,D47))</f>
        <v/>
      </c>
      <c r="K47" s="16" t="str">
        <f>IF(D47="","",SUMIFS('Data entry'!$J$3:$J$1000,'Data entry'!$E$3:$E$1000,"Purchase",'Data entry'!$G$3:$G$1000,D47))</f>
        <v/>
      </c>
      <c r="L47" s="16" t="str">
        <f t="shared" si="5"/>
        <v/>
      </c>
      <c r="M47" s="15"/>
      <c r="N47" s="16" t="str">
        <f t="shared" si="1"/>
        <v/>
      </c>
      <c r="O47" s="44"/>
      <c r="P47" s="45"/>
      <c r="Q47" s="46" t="str">
        <f>IF(O47="","",SUMIFS('Data entry'!$K$3:$K$1000,'Data entry'!$E$3:$E$1000,"Supply",'Data entry'!$G$3:$G$1000,O47))</f>
        <v/>
      </c>
      <c r="R47" s="46" t="str">
        <f t="shared" si="2"/>
        <v/>
      </c>
      <c r="S47" s="43"/>
      <c r="T47" s="47" t="str">
        <f>IF(O47="","",SUMIFS('Data entry'!$J$3:$J$1000,'Data entry'!$E$3:$E$1000,"Supply",'Data entry'!$F$3:$F$1000,O47))</f>
        <v/>
      </c>
      <c r="U47" s="48"/>
      <c r="V47" s="48" t="str">
        <f t="shared" si="4"/>
        <v/>
      </c>
      <c r="W47" s="43" t="str">
        <f t="shared" si="3"/>
        <v/>
      </c>
    </row>
    <row r="48" spans="2:23" ht="15" thickBot="1" x14ac:dyDescent="0.35">
      <c r="B48" s="36"/>
      <c r="C48" s="15"/>
      <c r="D48" s="15"/>
      <c r="E48" s="42"/>
      <c r="F48" s="15"/>
      <c r="G48" s="17" t="str">
        <f>IF(D48="","",SUMIFS('Data entry'!$K$3:$K$1000,'Data entry'!$E$3:$E$1000,"Purchase",'Data entry'!$G$3:$G$1000,D48))</f>
        <v/>
      </c>
      <c r="H48" s="17" t="str">
        <f>IF(D48="","",SUMIFS('Data entry'!$K$3:$K$1000,'Data entry'!$E$3:$E$1000,"Sale",'Data entry'!$G$3:$G$1000,D48))</f>
        <v/>
      </c>
      <c r="I48" s="17" t="str">
        <f>IF(D48="","",SUMIFS('Data entry'!$K$3:$K$1000,'Data entry'!$E$3:$E$1000,"Sale",'Data entry'!$G$3:$G$1000,D48)-SUMIFS('Data entry'!$K$3:$K$1000,'Data entry'!$E$3:$E$1000,"Purchase",'Data entry'!$G$3:$G$1000,D48))</f>
        <v/>
      </c>
      <c r="J48" s="16" t="str">
        <f>IF(D48="","",SUMIFS('Data entry'!$J$3:$J$1000,'Data entry'!$E$3:$E$1000,"Sale",'Data entry'!$G$3:$G$1000,D48))</f>
        <v/>
      </c>
      <c r="K48" s="16" t="str">
        <f>IF(D48="","",SUMIFS('Data entry'!$J$3:$J$1000,'Data entry'!$E$3:$E$1000,"Purchase",'Data entry'!$G$3:$G$1000,D48))</f>
        <v/>
      </c>
      <c r="L48" s="16" t="str">
        <f t="shared" si="5"/>
        <v/>
      </c>
      <c r="M48" s="15"/>
      <c r="N48" s="16" t="str">
        <f t="shared" si="1"/>
        <v/>
      </c>
      <c r="O48" s="44"/>
      <c r="P48" s="45"/>
      <c r="Q48" s="46" t="str">
        <f>IF(O48="","",SUMIFS('Data entry'!$K$3:$K$1000,'Data entry'!$E$3:$E$1000,"Supply",'Data entry'!$G$3:$G$1000,O48))</f>
        <v/>
      </c>
      <c r="R48" s="46" t="str">
        <f t="shared" si="2"/>
        <v/>
      </c>
      <c r="S48" s="43"/>
      <c r="T48" s="47" t="str">
        <f>IF(O48="","",SUMIFS('Data entry'!$J$3:$J$1000,'Data entry'!$E$3:$E$1000,"Supply",'Data entry'!$F$3:$F$1000,O48))</f>
        <v/>
      </c>
      <c r="U48" s="48"/>
      <c r="V48" s="48" t="str">
        <f t="shared" si="4"/>
        <v/>
      </c>
      <c r="W48" s="43" t="str">
        <f t="shared" si="3"/>
        <v/>
      </c>
    </row>
    <row r="49" spans="2:23" ht="15" thickBot="1" x14ac:dyDescent="0.35">
      <c r="B49" s="36"/>
      <c r="C49" s="15"/>
      <c r="D49" s="15"/>
      <c r="E49" s="42"/>
      <c r="F49" s="15"/>
      <c r="G49" s="17" t="str">
        <f>IF(D49="","",SUMIFS('Data entry'!$K$3:$K$1000,'Data entry'!$E$3:$E$1000,"Purchase",'Data entry'!$G$3:$G$1000,D49))</f>
        <v/>
      </c>
      <c r="H49" s="17" t="str">
        <f>IF(D49="","",SUMIFS('Data entry'!$K$3:$K$1000,'Data entry'!$E$3:$E$1000,"Sale",'Data entry'!$G$3:$G$1000,D49))</f>
        <v/>
      </c>
      <c r="I49" s="17" t="str">
        <f>IF(D49="","",SUMIFS('Data entry'!$K$3:$K$1000,'Data entry'!$E$3:$E$1000,"Sale",'Data entry'!$G$3:$G$1000,D49)-SUMIFS('Data entry'!$K$3:$K$1000,'Data entry'!$E$3:$E$1000,"Purchase",'Data entry'!$G$3:$G$1000,D49))</f>
        <v/>
      </c>
      <c r="J49" s="16" t="str">
        <f>IF(D49="","",SUMIFS('Data entry'!$J$3:$J$1000,'Data entry'!$E$3:$E$1000,"Sale",'Data entry'!$G$3:$G$1000,D49))</f>
        <v/>
      </c>
      <c r="K49" s="16" t="str">
        <f>IF(D49="","",SUMIFS('Data entry'!$J$3:$J$1000,'Data entry'!$E$3:$E$1000,"Purchase",'Data entry'!$G$3:$G$1000,D49))</f>
        <v/>
      </c>
      <c r="L49" s="16" t="str">
        <f t="shared" si="5"/>
        <v/>
      </c>
      <c r="M49" s="15"/>
      <c r="N49" s="16" t="str">
        <f t="shared" si="1"/>
        <v/>
      </c>
      <c r="O49" s="44"/>
      <c r="P49" s="45"/>
      <c r="Q49" s="46" t="str">
        <f>IF(O49="","",SUMIFS('Data entry'!$K$3:$K$1000,'Data entry'!$E$3:$E$1000,"Supply",'Data entry'!$G$3:$G$1000,O49))</f>
        <v/>
      </c>
      <c r="R49" s="46" t="str">
        <f t="shared" si="2"/>
        <v/>
      </c>
      <c r="S49" s="43"/>
      <c r="T49" s="47" t="str">
        <f>IF(O49="","",SUMIFS('Data entry'!$J$3:$J$1000,'Data entry'!$E$3:$E$1000,"Supply",'Data entry'!$F$3:$F$1000,O49))</f>
        <v/>
      </c>
      <c r="U49" s="48"/>
      <c r="V49" s="48" t="str">
        <f t="shared" si="4"/>
        <v/>
      </c>
      <c r="W49" s="43" t="str">
        <f t="shared" si="3"/>
        <v/>
      </c>
    </row>
    <row r="50" spans="2:23" ht="15" thickBot="1" x14ac:dyDescent="0.35">
      <c r="B50" s="36"/>
      <c r="C50" s="15"/>
      <c r="D50" s="15"/>
      <c r="E50" s="42"/>
      <c r="F50" s="15"/>
      <c r="G50" s="17" t="str">
        <f>IF(D50="","",SUMIFS('Data entry'!$K$3:$K$1000,'Data entry'!$E$3:$E$1000,"Purchase",'Data entry'!$G$3:$G$1000,D50))</f>
        <v/>
      </c>
      <c r="H50" s="17" t="str">
        <f>IF(D50="","",SUMIFS('Data entry'!$K$3:$K$1000,'Data entry'!$E$3:$E$1000,"Sale",'Data entry'!$G$3:$G$1000,D50))</f>
        <v/>
      </c>
      <c r="I50" s="17" t="str">
        <f>IF(D50="","",SUMIFS('Data entry'!$K$3:$K$1000,'Data entry'!$E$3:$E$1000,"Sale",'Data entry'!$G$3:$G$1000,D50)-SUMIFS('Data entry'!$K$3:$K$1000,'Data entry'!$E$3:$E$1000,"Purchase",'Data entry'!$G$3:$G$1000,D50))</f>
        <v/>
      </c>
      <c r="J50" s="16" t="str">
        <f>IF(D50="","",SUMIFS('Data entry'!$J$3:$J$1000,'Data entry'!$E$3:$E$1000,"Sale",'Data entry'!$G$3:$G$1000,D50))</f>
        <v/>
      </c>
      <c r="K50" s="16" t="str">
        <f>IF(D50="","",SUMIFS('Data entry'!$J$3:$J$1000,'Data entry'!$E$3:$E$1000,"Purchase",'Data entry'!$G$3:$G$1000,D50))</f>
        <v/>
      </c>
      <c r="L50" s="16" t="str">
        <f t="shared" si="5"/>
        <v/>
      </c>
      <c r="M50" s="15"/>
      <c r="N50" s="16" t="str">
        <f t="shared" si="1"/>
        <v/>
      </c>
      <c r="O50" s="44"/>
      <c r="P50" s="45"/>
      <c r="Q50" s="46" t="str">
        <f>IF(O50="","",SUMIFS('Data entry'!$K$3:$K$1000,'Data entry'!$E$3:$E$1000,"Supply",'Data entry'!$G$3:$G$1000,O50))</f>
        <v/>
      </c>
      <c r="R50" s="46" t="str">
        <f t="shared" si="2"/>
        <v/>
      </c>
      <c r="S50" s="43"/>
      <c r="T50" s="47" t="str">
        <f>IF(O50="","",SUMIFS('Data entry'!$J$3:$J$1000,'Data entry'!$E$3:$E$1000,"Supply",'Data entry'!$F$3:$F$1000,O50))</f>
        <v/>
      </c>
      <c r="U50" s="48"/>
      <c r="V50" s="48" t="str">
        <f t="shared" si="4"/>
        <v/>
      </c>
      <c r="W50" s="43" t="str">
        <f t="shared" si="3"/>
        <v/>
      </c>
    </row>
    <row r="51" spans="2:23" ht="15" thickBot="1" x14ac:dyDescent="0.35">
      <c r="B51" s="36"/>
      <c r="C51" s="15"/>
      <c r="D51" s="15"/>
      <c r="E51" s="42"/>
      <c r="F51" s="15"/>
      <c r="G51" s="17" t="str">
        <f>IF(D51="","",SUMIFS('Data entry'!$K$3:$K$1000,'Data entry'!$E$3:$E$1000,"Purchase",'Data entry'!$G$3:$G$1000,D51))</f>
        <v/>
      </c>
      <c r="H51" s="17" t="str">
        <f>IF(D51="","",SUMIFS('Data entry'!$K$3:$K$1000,'Data entry'!$E$3:$E$1000,"Sale",'Data entry'!$G$3:$G$1000,D51))</f>
        <v/>
      </c>
      <c r="I51" s="17" t="str">
        <f>IF(D51="","",SUMIFS('Data entry'!$K$3:$K$1000,'Data entry'!$E$3:$E$1000,"Sale",'Data entry'!$G$3:$G$1000,D51)-SUMIFS('Data entry'!$K$3:$K$1000,'Data entry'!$E$3:$E$1000,"Purchase",'Data entry'!$G$3:$G$1000,D51))</f>
        <v/>
      </c>
      <c r="J51" s="16" t="str">
        <f>IF(D51="","",SUMIFS('Data entry'!$J$3:$J$1000,'Data entry'!$E$3:$E$1000,"Sale",'Data entry'!$G$3:$G$1000,D51))</f>
        <v/>
      </c>
      <c r="K51" s="16" t="str">
        <f>IF(D51="","",SUMIFS('Data entry'!$J$3:$J$1000,'Data entry'!$E$3:$E$1000,"Purchase",'Data entry'!$G$3:$G$1000,D51))</f>
        <v/>
      </c>
      <c r="L51" s="16" t="str">
        <f t="shared" si="5"/>
        <v/>
      </c>
      <c r="M51" s="15"/>
      <c r="N51" s="16" t="str">
        <f t="shared" si="1"/>
        <v/>
      </c>
      <c r="O51" s="44"/>
      <c r="P51" s="45"/>
      <c r="Q51" s="46" t="str">
        <f>IF(O51="","",SUMIFS('Data entry'!$K$3:$K$1000,'Data entry'!$E$3:$E$1000,"Supply",'Data entry'!$G$3:$G$1000,O51))</f>
        <v/>
      </c>
      <c r="R51" s="46" t="str">
        <f t="shared" si="2"/>
        <v/>
      </c>
      <c r="S51" s="43"/>
      <c r="T51" s="47" t="str">
        <f>IF(O51="","",SUMIFS('Data entry'!$J$3:$J$1000,'Data entry'!$E$3:$E$1000,"Supply",'Data entry'!$F$3:$F$1000,O51))</f>
        <v/>
      </c>
      <c r="U51" s="48"/>
      <c r="V51" s="48" t="str">
        <f t="shared" si="4"/>
        <v/>
      </c>
      <c r="W51" s="43" t="str">
        <f t="shared" si="3"/>
        <v/>
      </c>
    </row>
    <row r="52" spans="2:23" ht="15" thickBot="1" x14ac:dyDescent="0.35">
      <c r="B52" s="36"/>
      <c r="C52" s="15"/>
      <c r="D52" s="15"/>
      <c r="E52" s="42"/>
      <c r="F52" s="15"/>
      <c r="G52" s="17" t="str">
        <f>IF(D52="","",SUMIFS('Data entry'!$K$3:$K$1000,'Data entry'!$E$3:$E$1000,"Purchase",'Data entry'!$G$3:$G$1000,D52))</f>
        <v/>
      </c>
      <c r="H52" s="17" t="str">
        <f>IF(D52="","",SUMIFS('Data entry'!$K$3:$K$1000,'Data entry'!$E$3:$E$1000,"Sale",'Data entry'!$G$3:$G$1000,D52))</f>
        <v/>
      </c>
      <c r="I52" s="17" t="str">
        <f>IF(D52="","",SUMIFS('Data entry'!$K$3:$K$1000,'Data entry'!$E$3:$E$1000,"Sale",'Data entry'!$G$3:$G$1000,D52)-SUMIFS('Data entry'!$K$3:$K$1000,'Data entry'!$E$3:$E$1000,"Purchase",'Data entry'!$G$3:$G$1000,D52))</f>
        <v/>
      </c>
      <c r="J52" s="16" t="str">
        <f>IF(D52="","",SUMIFS('Data entry'!$J$3:$J$1000,'Data entry'!$E$3:$E$1000,"Sale",'Data entry'!$G$3:$G$1000,D52))</f>
        <v/>
      </c>
      <c r="K52" s="16" t="str">
        <f>IF(D52="","",SUMIFS('Data entry'!$J$3:$J$1000,'Data entry'!$E$3:$E$1000,"Purchase",'Data entry'!$G$3:$G$1000,D52))</f>
        <v/>
      </c>
      <c r="L52" s="16" t="str">
        <f t="shared" si="5"/>
        <v/>
      </c>
      <c r="M52" s="15"/>
      <c r="N52" s="16" t="str">
        <f t="shared" si="1"/>
        <v/>
      </c>
      <c r="O52" s="44"/>
      <c r="P52" s="45"/>
      <c r="Q52" s="46" t="str">
        <f>IF(O52="","",SUMIFS('Data entry'!$K$3:$K$1000,'Data entry'!$E$3:$E$1000,"Supply",'Data entry'!$G$3:$G$1000,O52))</f>
        <v/>
      </c>
      <c r="R52" s="46" t="str">
        <f t="shared" si="2"/>
        <v/>
      </c>
      <c r="S52" s="43"/>
      <c r="T52" s="47" t="str">
        <f>IF(O52="","",SUMIFS('Data entry'!$J$3:$J$1000,'Data entry'!$E$3:$E$1000,"Supply",'Data entry'!$F$3:$F$1000,O52))</f>
        <v/>
      </c>
      <c r="U52" s="48"/>
      <c r="V52" s="48" t="str">
        <f t="shared" si="4"/>
        <v/>
      </c>
      <c r="W52" s="43" t="str">
        <f t="shared" si="3"/>
        <v/>
      </c>
    </row>
    <row r="53" spans="2:23" ht="15" thickBot="1" x14ac:dyDescent="0.35">
      <c r="B53" s="36"/>
      <c r="C53" s="15"/>
      <c r="D53" s="15"/>
      <c r="E53" s="42"/>
      <c r="F53" s="15"/>
      <c r="G53" s="17" t="str">
        <f>IF(D53="","",SUMIFS('Data entry'!$K$3:$K$1000,'Data entry'!$E$3:$E$1000,"Purchase",'Data entry'!$G$3:$G$1000,D53))</f>
        <v/>
      </c>
      <c r="H53" s="17" t="str">
        <f>IF(D53="","",SUMIFS('Data entry'!$K$3:$K$1000,'Data entry'!$E$3:$E$1000,"Sale",'Data entry'!$G$3:$G$1000,D53))</f>
        <v/>
      </c>
      <c r="I53" s="17" t="str">
        <f>IF(D53="","",SUMIFS('Data entry'!$K$3:$K$1000,'Data entry'!$E$3:$E$1000,"Sale",'Data entry'!$G$3:$G$1000,D53)-SUMIFS('Data entry'!$K$3:$K$1000,'Data entry'!$E$3:$E$1000,"Purchase",'Data entry'!$G$3:$G$1000,D53))</f>
        <v/>
      </c>
      <c r="J53" s="16" t="str">
        <f>IF(D53="","",SUMIFS('Data entry'!$J$3:$J$1000,'Data entry'!$E$3:$E$1000,"Sale",'Data entry'!$G$3:$G$1000,D53))</f>
        <v/>
      </c>
      <c r="K53" s="16" t="str">
        <f>IF(D53="","",SUMIFS('Data entry'!$J$3:$J$1000,'Data entry'!$E$3:$E$1000,"Purchase",'Data entry'!$G$3:$G$1000,D53))</f>
        <v/>
      </c>
      <c r="L53" s="16" t="str">
        <f t="shared" si="5"/>
        <v/>
      </c>
      <c r="M53" s="15"/>
      <c r="N53" s="16" t="str">
        <f t="shared" si="1"/>
        <v/>
      </c>
      <c r="O53" s="44"/>
      <c r="P53" s="45"/>
      <c r="Q53" s="46" t="str">
        <f>IF(O53="","",SUMIFS('Data entry'!$K$3:$K$1000,'Data entry'!$E$3:$E$1000,"Supply",'Data entry'!$G$3:$G$1000,O53))</f>
        <v/>
      </c>
      <c r="R53" s="46" t="str">
        <f t="shared" si="2"/>
        <v/>
      </c>
      <c r="S53" s="43"/>
      <c r="T53" s="47" t="str">
        <f>IF(O53="","",SUMIFS('Data entry'!$J$3:$J$1000,'Data entry'!$E$3:$E$1000,"Supply",'Data entry'!$F$3:$F$1000,O53))</f>
        <v/>
      </c>
      <c r="U53" s="48"/>
      <c r="V53" s="48" t="str">
        <f t="shared" si="4"/>
        <v/>
      </c>
      <c r="W53" s="43" t="str">
        <f t="shared" si="3"/>
        <v/>
      </c>
    </row>
    <row r="54" spans="2:23" ht="15" thickBot="1" x14ac:dyDescent="0.35">
      <c r="B54" s="36"/>
      <c r="C54" s="15"/>
      <c r="D54" s="15"/>
      <c r="E54" s="42"/>
      <c r="F54" s="15"/>
      <c r="G54" s="17" t="str">
        <f>IF(D54="","",SUMIFS('Data entry'!$K$3:$K$1000,'Data entry'!$E$3:$E$1000,"Purchase",'Data entry'!$G$3:$G$1000,D54))</f>
        <v/>
      </c>
      <c r="H54" s="17" t="str">
        <f>IF(D54="","",SUMIFS('Data entry'!$K$3:$K$1000,'Data entry'!$E$3:$E$1000,"Sale",'Data entry'!$G$3:$G$1000,D54))</f>
        <v/>
      </c>
      <c r="I54" s="17" t="str">
        <f>IF(D54="","",SUMIFS('Data entry'!$K$3:$K$1000,'Data entry'!$E$3:$E$1000,"Sale",'Data entry'!$G$3:$G$1000,D54)-SUMIFS('Data entry'!$K$3:$K$1000,'Data entry'!$E$3:$E$1000,"Purchase",'Data entry'!$G$3:$G$1000,D54))</f>
        <v/>
      </c>
      <c r="J54" s="16" t="str">
        <f>IF(D54="","",SUMIFS('Data entry'!$J$3:$J$1000,'Data entry'!$E$3:$E$1000,"Sale",'Data entry'!$G$3:$G$1000,D54))</f>
        <v/>
      </c>
      <c r="K54" s="16" t="str">
        <f>IF(D54="","",SUMIFS('Data entry'!$J$3:$J$1000,'Data entry'!$E$3:$E$1000,"Purchase",'Data entry'!$G$3:$G$1000,D54))</f>
        <v/>
      </c>
      <c r="L54" s="16" t="str">
        <f t="shared" si="5"/>
        <v/>
      </c>
      <c r="M54" s="15"/>
      <c r="N54" s="16" t="str">
        <f t="shared" si="1"/>
        <v/>
      </c>
      <c r="O54" s="44"/>
      <c r="P54" s="45"/>
      <c r="Q54" s="46" t="str">
        <f>IF(O54="","",SUMIFS('Data entry'!$K$3:$K$1000,'Data entry'!$E$3:$E$1000,"Supply",'Data entry'!$G$3:$G$1000,O54))</f>
        <v/>
      </c>
      <c r="R54" s="46" t="str">
        <f t="shared" si="2"/>
        <v/>
      </c>
      <c r="S54" s="43"/>
      <c r="T54" s="47" t="str">
        <f>IF(O54="","",SUMIFS('Data entry'!$J$3:$J$1000,'Data entry'!$E$3:$E$1000,"Supply",'Data entry'!$F$3:$F$1000,O54))</f>
        <v/>
      </c>
      <c r="U54" s="48"/>
      <c r="V54" s="48" t="str">
        <f t="shared" si="4"/>
        <v/>
      </c>
      <c r="W54" s="43" t="str">
        <f t="shared" si="3"/>
        <v/>
      </c>
    </row>
    <row r="55" spans="2:23" ht="15" thickBot="1" x14ac:dyDescent="0.35">
      <c r="B55" s="36"/>
      <c r="C55" s="15"/>
      <c r="D55" s="15"/>
      <c r="E55" s="42"/>
      <c r="F55" s="15"/>
      <c r="G55" s="17" t="str">
        <f>IF(D55="","",SUMIFS('Data entry'!$K$3:$K$1000,'Data entry'!$E$3:$E$1000,"Purchase",'Data entry'!$G$3:$G$1000,D55))</f>
        <v/>
      </c>
      <c r="H55" s="17" t="str">
        <f>IF(D55="","",SUMIFS('Data entry'!$K$3:$K$1000,'Data entry'!$E$3:$E$1000,"Sale",'Data entry'!$G$3:$G$1000,D55))</f>
        <v/>
      </c>
      <c r="I55" s="17" t="str">
        <f>IF(D55="","",SUMIFS('Data entry'!$K$3:$K$1000,'Data entry'!$E$3:$E$1000,"Sale",'Data entry'!$G$3:$G$1000,D55)-SUMIFS('Data entry'!$K$3:$K$1000,'Data entry'!$E$3:$E$1000,"Purchase",'Data entry'!$G$3:$G$1000,D55))</f>
        <v/>
      </c>
      <c r="J55" s="16" t="str">
        <f>IF(D55="","",SUMIFS('Data entry'!$J$3:$J$1000,'Data entry'!$E$3:$E$1000,"Sale",'Data entry'!$G$3:$G$1000,D55))</f>
        <v/>
      </c>
      <c r="K55" s="16" t="str">
        <f>IF(D55="","",SUMIFS('Data entry'!$J$3:$J$1000,'Data entry'!$E$3:$E$1000,"Purchase",'Data entry'!$G$3:$G$1000,D55))</f>
        <v/>
      </c>
      <c r="L55" s="16" t="str">
        <f t="shared" si="5"/>
        <v/>
      </c>
      <c r="M55" s="15"/>
      <c r="N55" s="16" t="str">
        <f t="shared" si="1"/>
        <v/>
      </c>
      <c r="O55" s="44"/>
      <c r="P55" s="45"/>
      <c r="Q55" s="46" t="str">
        <f>IF(O55="","",SUMIFS('Data entry'!$K$3:$K$1000,'Data entry'!$E$3:$E$1000,"Supply",'Data entry'!$G$3:$G$1000,O55))</f>
        <v/>
      </c>
      <c r="R55" s="46" t="str">
        <f t="shared" si="2"/>
        <v/>
      </c>
      <c r="S55" s="43"/>
      <c r="T55" s="47" t="str">
        <f>IF(O55="","",SUMIFS('Data entry'!$J$3:$J$1000,'Data entry'!$E$3:$E$1000,"Supply",'Data entry'!$F$3:$F$1000,O55))</f>
        <v/>
      </c>
      <c r="U55" s="48"/>
      <c r="V55" s="48" t="str">
        <f t="shared" si="4"/>
        <v/>
      </c>
      <c r="W55" s="43" t="str">
        <f t="shared" si="3"/>
        <v/>
      </c>
    </row>
    <row r="56" spans="2:23" ht="15" thickBot="1" x14ac:dyDescent="0.35">
      <c r="B56" s="36"/>
      <c r="C56" s="15"/>
      <c r="D56" s="15"/>
      <c r="E56" s="42"/>
      <c r="F56" s="15"/>
      <c r="G56" s="17" t="str">
        <f>IF(D56="","",SUMIFS('Data entry'!$K$3:$K$1000,'Data entry'!$E$3:$E$1000,"Purchase",'Data entry'!$G$3:$G$1000,D56))</f>
        <v/>
      </c>
      <c r="H56" s="17" t="str">
        <f>IF(D56="","",SUMIFS('Data entry'!$K$3:$K$1000,'Data entry'!$E$3:$E$1000,"Sale",'Data entry'!$G$3:$G$1000,D56))</f>
        <v/>
      </c>
      <c r="I56" s="17" t="str">
        <f>IF(D56="","",SUMIFS('Data entry'!$K$3:$K$1000,'Data entry'!$E$3:$E$1000,"Sale",'Data entry'!$G$3:$G$1000,D56)-SUMIFS('Data entry'!$K$3:$K$1000,'Data entry'!$E$3:$E$1000,"Purchase",'Data entry'!$G$3:$G$1000,D56))</f>
        <v/>
      </c>
      <c r="J56" s="16" t="str">
        <f>IF(D56="","",SUMIFS('Data entry'!$J$3:$J$1000,'Data entry'!$E$3:$E$1000,"Sale",'Data entry'!$G$3:$G$1000,D56))</f>
        <v/>
      </c>
      <c r="K56" s="16" t="str">
        <f>IF(D56="","",SUMIFS('Data entry'!$J$3:$J$1000,'Data entry'!$E$3:$E$1000,"Purchase",'Data entry'!$G$3:$G$1000,D56))</f>
        <v/>
      </c>
      <c r="L56" s="16" t="str">
        <f t="shared" si="5"/>
        <v/>
      </c>
      <c r="M56" s="15"/>
      <c r="N56" s="16" t="str">
        <f t="shared" si="1"/>
        <v/>
      </c>
      <c r="O56" s="44"/>
      <c r="P56" s="45"/>
      <c r="Q56" s="46" t="str">
        <f>IF(O56="","",SUMIFS('Data entry'!$K$3:$K$1000,'Data entry'!$E$3:$E$1000,"Supply",'Data entry'!$G$3:$G$1000,O56))</f>
        <v/>
      </c>
      <c r="R56" s="46" t="str">
        <f t="shared" si="2"/>
        <v/>
      </c>
      <c r="S56" s="43"/>
      <c r="T56" s="47" t="str">
        <f>IF(O56="","",SUMIFS('Data entry'!$J$3:$J$1000,'Data entry'!$E$3:$E$1000,"Supply",'Data entry'!$F$3:$F$1000,O56))</f>
        <v/>
      </c>
      <c r="U56" s="48"/>
      <c r="V56" s="48" t="str">
        <f t="shared" si="4"/>
        <v/>
      </c>
      <c r="W56" s="43" t="str">
        <f t="shared" si="3"/>
        <v/>
      </c>
    </row>
    <row r="57" spans="2:23" ht="15" thickBot="1" x14ac:dyDescent="0.35">
      <c r="B57" s="36"/>
      <c r="C57" s="15"/>
      <c r="D57" s="15"/>
      <c r="E57" s="42"/>
      <c r="F57" s="15"/>
      <c r="G57" s="17" t="str">
        <f>IF(D57="","",SUMIFS('Data entry'!$K$3:$K$1000,'Data entry'!$E$3:$E$1000,"Purchase",'Data entry'!$G$3:$G$1000,D57))</f>
        <v/>
      </c>
      <c r="H57" s="17" t="str">
        <f>IF(D57="","",SUMIFS('Data entry'!$K$3:$K$1000,'Data entry'!$E$3:$E$1000,"Sale",'Data entry'!$G$3:$G$1000,D57))</f>
        <v/>
      </c>
      <c r="I57" s="17" t="str">
        <f>IF(D57="","",SUMIFS('Data entry'!$K$3:$K$1000,'Data entry'!$E$3:$E$1000,"Sale",'Data entry'!$G$3:$G$1000,D57)-SUMIFS('Data entry'!$K$3:$K$1000,'Data entry'!$E$3:$E$1000,"Purchase",'Data entry'!$G$3:$G$1000,D57))</f>
        <v/>
      </c>
      <c r="J57" s="16" t="str">
        <f>IF(D57="","",SUMIFS('Data entry'!$J$3:$J$1000,'Data entry'!$E$3:$E$1000,"Sale",'Data entry'!$G$3:$G$1000,D57))</f>
        <v/>
      </c>
      <c r="K57" s="16" t="str">
        <f>IF(D57="","",SUMIFS('Data entry'!$J$3:$J$1000,'Data entry'!$E$3:$E$1000,"Purchase",'Data entry'!$G$3:$G$1000,D57))</f>
        <v/>
      </c>
      <c r="L57" s="16" t="str">
        <f t="shared" si="5"/>
        <v/>
      </c>
      <c r="M57" s="15"/>
      <c r="N57" s="16" t="str">
        <f t="shared" si="1"/>
        <v/>
      </c>
      <c r="O57" s="44"/>
      <c r="P57" s="45"/>
      <c r="Q57" s="46" t="str">
        <f>IF(O57="","",SUMIFS('Data entry'!$K$3:$K$1000,'Data entry'!$E$3:$E$1000,"Supply",'Data entry'!$G$3:$G$1000,O57))</f>
        <v/>
      </c>
      <c r="R57" s="46" t="str">
        <f t="shared" si="2"/>
        <v/>
      </c>
      <c r="S57" s="43"/>
      <c r="T57" s="47" t="str">
        <f>IF(O57="","",SUMIFS('Data entry'!$J$3:$J$1000,'Data entry'!$E$3:$E$1000,"Supply",'Data entry'!$F$3:$F$1000,O57))</f>
        <v/>
      </c>
      <c r="U57" s="48"/>
      <c r="V57" s="48" t="str">
        <f t="shared" si="4"/>
        <v/>
      </c>
      <c r="W57" s="43" t="str">
        <f t="shared" si="3"/>
        <v/>
      </c>
    </row>
    <row r="58" spans="2:23" ht="15" thickBot="1" x14ac:dyDescent="0.35">
      <c r="B58" s="36"/>
      <c r="C58" s="15"/>
      <c r="D58" s="15"/>
      <c r="E58" s="42"/>
      <c r="F58" s="15"/>
      <c r="G58" s="17" t="str">
        <f>IF(D58="","",SUMIFS('Data entry'!$K$3:$K$1000,'Data entry'!$E$3:$E$1000,"Purchase",'Data entry'!$G$3:$G$1000,D58))</f>
        <v/>
      </c>
      <c r="H58" s="17" t="str">
        <f>IF(D58="","",SUMIFS('Data entry'!$K$3:$K$1000,'Data entry'!$E$3:$E$1000,"Sale",'Data entry'!$G$3:$G$1000,D58))</f>
        <v/>
      </c>
      <c r="I58" s="17" t="str">
        <f>IF(D58="","",SUMIFS('Data entry'!$K$3:$K$1000,'Data entry'!$E$3:$E$1000,"Sale",'Data entry'!$G$3:$G$1000,D58)-SUMIFS('Data entry'!$K$3:$K$1000,'Data entry'!$E$3:$E$1000,"Purchase",'Data entry'!$G$3:$G$1000,D58))</f>
        <v/>
      </c>
      <c r="J58" s="16" t="str">
        <f>IF(D58="","",SUMIFS('Data entry'!$J$3:$J$1000,'Data entry'!$E$3:$E$1000,"Sale",'Data entry'!$G$3:$G$1000,D58))</f>
        <v/>
      </c>
      <c r="K58" s="16" t="str">
        <f>IF(D58="","",SUMIFS('Data entry'!$J$3:$J$1000,'Data entry'!$E$3:$E$1000,"Purchase",'Data entry'!$G$3:$G$1000,D58))</f>
        <v/>
      </c>
      <c r="L58" s="16" t="str">
        <f t="shared" si="5"/>
        <v/>
      </c>
      <c r="M58" s="15"/>
      <c r="N58" s="16" t="str">
        <f t="shared" si="1"/>
        <v/>
      </c>
      <c r="O58" s="44"/>
      <c r="P58" s="45"/>
      <c r="Q58" s="46" t="str">
        <f>IF(O58="","",SUMIFS('Data entry'!$K$3:$K$1000,'Data entry'!$E$3:$E$1000,"Supply",'Data entry'!$G$3:$G$1000,O58))</f>
        <v/>
      </c>
      <c r="R58" s="46" t="str">
        <f t="shared" si="2"/>
        <v/>
      </c>
      <c r="S58" s="43"/>
      <c r="T58" s="47" t="str">
        <f>IF(O58="","",SUMIFS('Data entry'!$J$3:$J$1000,'Data entry'!$E$3:$E$1000,"Supply",'Data entry'!$F$3:$F$1000,O58))</f>
        <v/>
      </c>
      <c r="U58" s="48"/>
      <c r="V58" s="48" t="str">
        <f t="shared" si="4"/>
        <v/>
      </c>
      <c r="W58" s="43" t="str">
        <f t="shared" si="3"/>
        <v/>
      </c>
    </row>
    <row r="59" spans="2:23" ht="15" thickBot="1" x14ac:dyDescent="0.35">
      <c r="B59" s="36"/>
      <c r="C59" s="15"/>
      <c r="D59" s="15"/>
      <c r="E59" s="42"/>
      <c r="F59" s="15"/>
      <c r="G59" s="17" t="str">
        <f>IF(D59="","",SUMIFS('Data entry'!$K$3:$K$1000,'Data entry'!$E$3:$E$1000,"Purchase",'Data entry'!$G$3:$G$1000,D59))</f>
        <v/>
      </c>
      <c r="H59" s="17" t="str">
        <f>IF(D59="","",SUMIFS('Data entry'!$K$3:$K$1000,'Data entry'!$E$3:$E$1000,"Sale",'Data entry'!$G$3:$G$1000,D59))</f>
        <v/>
      </c>
      <c r="I59" s="17" t="str">
        <f>IF(D59="","",SUMIFS('Data entry'!$K$3:$K$1000,'Data entry'!$E$3:$E$1000,"Sale",'Data entry'!$G$3:$G$1000,D59)-SUMIFS('Data entry'!$K$3:$K$1000,'Data entry'!$E$3:$E$1000,"Purchase",'Data entry'!$G$3:$G$1000,D59))</f>
        <v/>
      </c>
      <c r="J59" s="16" t="str">
        <f>IF(D59="","",SUMIFS('Data entry'!$J$3:$J$1000,'Data entry'!$E$3:$E$1000,"Sale",'Data entry'!$G$3:$G$1000,D59))</f>
        <v/>
      </c>
      <c r="K59" s="16" t="str">
        <f>IF(D59="","",SUMIFS('Data entry'!$J$3:$J$1000,'Data entry'!$E$3:$E$1000,"Purchase",'Data entry'!$G$3:$G$1000,D59))</f>
        <v/>
      </c>
      <c r="L59" s="16" t="str">
        <f t="shared" si="5"/>
        <v/>
      </c>
      <c r="M59" s="15"/>
      <c r="N59" s="16" t="str">
        <f t="shared" si="1"/>
        <v/>
      </c>
      <c r="O59" s="44"/>
      <c r="P59" s="45"/>
      <c r="Q59" s="46" t="str">
        <f>IF(O59="","",SUMIFS('Data entry'!$K$3:$K$1000,'Data entry'!$E$3:$E$1000,"Supply",'Data entry'!$G$3:$G$1000,O59))</f>
        <v/>
      </c>
      <c r="R59" s="46" t="str">
        <f t="shared" si="2"/>
        <v/>
      </c>
      <c r="S59" s="43"/>
      <c r="T59" s="47" t="str">
        <f>IF(O59="","",SUMIFS('Data entry'!$J$3:$J$1000,'Data entry'!$E$3:$E$1000,"Supply",'Data entry'!$F$3:$F$1000,O59))</f>
        <v/>
      </c>
      <c r="U59" s="48"/>
      <c r="V59" s="48" t="str">
        <f t="shared" si="4"/>
        <v/>
      </c>
      <c r="W59" s="43" t="str">
        <f t="shared" si="3"/>
        <v/>
      </c>
    </row>
    <row r="60" spans="2:23" ht="15" thickBot="1" x14ac:dyDescent="0.35">
      <c r="B60" s="36"/>
      <c r="C60" s="15"/>
      <c r="D60" s="15"/>
      <c r="E60" s="42"/>
      <c r="F60" s="15"/>
      <c r="G60" s="17" t="str">
        <f>IF(D60="","",SUMIFS('Data entry'!$K$3:$K$1000,'Data entry'!$E$3:$E$1000,"Purchase",'Data entry'!$G$3:$G$1000,D60))</f>
        <v/>
      </c>
      <c r="H60" s="17" t="str">
        <f>IF(D60="","",SUMIFS('Data entry'!$K$3:$K$1000,'Data entry'!$E$3:$E$1000,"Sale",'Data entry'!$G$3:$G$1000,D60))</f>
        <v/>
      </c>
      <c r="I60" s="17" t="str">
        <f>IF(D60="","",SUMIFS('Data entry'!$K$3:$K$1000,'Data entry'!$E$3:$E$1000,"Sale",'Data entry'!$G$3:$G$1000,D60)-SUMIFS('Data entry'!$K$3:$K$1000,'Data entry'!$E$3:$E$1000,"Purchase",'Data entry'!$G$3:$G$1000,D60))</f>
        <v/>
      </c>
      <c r="J60" s="16" t="str">
        <f>IF(D60="","",SUMIFS('Data entry'!$J$3:$J$1000,'Data entry'!$E$3:$E$1000,"Sale",'Data entry'!$G$3:$G$1000,D60))</f>
        <v/>
      </c>
      <c r="K60" s="16" t="str">
        <f>IF(D60="","",SUMIFS('Data entry'!$J$3:$J$1000,'Data entry'!$E$3:$E$1000,"Purchase",'Data entry'!$G$3:$G$1000,D60))</f>
        <v/>
      </c>
      <c r="L60" s="16" t="str">
        <f t="shared" si="5"/>
        <v/>
      </c>
      <c r="M60" s="15"/>
      <c r="N60" s="16" t="str">
        <f t="shared" si="1"/>
        <v/>
      </c>
      <c r="O60" s="44"/>
      <c r="P60" s="45"/>
      <c r="Q60" s="46" t="str">
        <f>IF(O60="","",SUMIFS('Data entry'!$K$3:$K$1000,'Data entry'!$E$3:$E$1000,"Supply",'Data entry'!$G$3:$G$1000,O60))</f>
        <v/>
      </c>
      <c r="R60" s="46" t="str">
        <f t="shared" si="2"/>
        <v/>
      </c>
      <c r="S60" s="43"/>
      <c r="T60" s="47" t="str">
        <f>IF(O60="","",SUMIFS('Data entry'!$J$3:$J$1000,'Data entry'!$E$3:$E$1000,"Supply",'Data entry'!$F$3:$F$1000,O60))</f>
        <v/>
      </c>
      <c r="U60" s="48"/>
      <c r="V60" s="48" t="str">
        <f t="shared" si="4"/>
        <v/>
      </c>
      <c r="W60" s="43" t="str">
        <f t="shared" si="3"/>
        <v/>
      </c>
    </row>
    <row r="61" spans="2:23" ht="15" thickBot="1" x14ac:dyDescent="0.35">
      <c r="B61" s="36"/>
      <c r="C61" s="15"/>
      <c r="D61" s="15"/>
      <c r="E61" s="42"/>
      <c r="F61" s="15"/>
      <c r="G61" s="17" t="str">
        <f>IF(D61="","",SUMIFS('Data entry'!$K$3:$K$1000,'Data entry'!$E$3:$E$1000,"Purchase",'Data entry'!$G$3:$G$1000,D61))</f>
        <v/>
      </c>
      <c r="H61" s="17" t="str">
        <f>IF(D61="","",SUMIFS('Data entry'!$K$3:$K$1000,'Data entry'!$E$3:$E$1000,"Sale",'Data entry'!$G$3:$G$1000,D61))</f>
        <v/>
      </c>
      <c r="I61" s="17" t="str">
        <f>IF(D61="","",SUMIFS('Data entry'!$K$3:$K$1000,'Data entry'!$E$3:$E$1000,"Sale",'Data entry'!$G$3:$G$1000,D61)-SUMIFS('Data entry'!$K$3:$K$1000,'Data entry'!$E$3:$E$1000,"Purchase",'Data entry'!$G$3:$G$1000,D61))</f>
        <v/>
      </c>
      <c r="J61" s="16" t="str">
        <f>IF(D61="","",SUMIFS('Data entry'!$J$3:$J$1000,'Data entry'!$E$3:$E$1000,"Sale",'Data entry'!$G$3:$G$1000,D61))</f>
        <v/>
      </c>
      <c r="K61" s="16" t="str">
        <f>IF(D61="","",SUMIFS('Data entry'!$J$3:$J$1000,'Data entry'!$E$3:$E$1000,"Purchase",'Data entry'!$G$3:$G$1000,D61))</f>
        <v/>
      </c>
      <c r="L61" s="16" t="str">
        <f t="shared" si="5"/>
        <v/>
      </c>
      <c r="M61" s="15"/>
      <c r="N61" s="16" t="str">
        <f t="shared" si="1"/>
        <v/>
      </c>
      <c r="O61" s="44"/>
      <c r="P61" s="45"/>
      <c r="Q61" s="46" t="str">
        <f>IF(O61="","",SUMIFS('Data entry'!$K$3:$K$1000,'Data entry'!$E$3:$E$1000,"Supply",'Data entry'!$G$3:$G$1000,O61))</f>
        <v/>
      </c>
      <c r="R61" s="46" t="str">
        <f t="shared" si="2"/>
        <v/>
      </c>
      <c r="S61" s="43"/>
      <c r="T61" s="47" t="str">
        <f>IF(O61="","",SUMIFS('Data entry'!$J$3:$J$1000,'Data entry'!$E$3:$E$1000,"Supply",'Data entry'!$F$3:$F$1000,O61))</f>
        <v/>
      </c>
      <c r="U61" s="48"/>
      <c r="V61" s="48" t="str">
        <f t="shared" si="4"/>
        <v/>
      </c>
      <c r="W61" s="43" t="str">
        <f t="shared" si="3"/>
        <v/>
      </c>
    </row>
    <row r="62" spans="2:23" ht="15" thickBot="1" x14ac:dyDescent="0.35">
      <c r="B62" s="36"/>
      <c r="C62" s="15"/>
      <c r="D62" s="15"/>
      <c r="E62" s="42"/>
      <c r="F62" s="15"/>
      <c r="G62" s="17" t="str">
        <f>IF(D62="","",SUMIFS('Data entry'!$K$3:$K$1000,'Data entry'!$E$3:$E$1000,"Purchase",'Data entry'!$G$3:$G$1000,D62))</f>
        <v/>
      </c>
      <c r="H62" s="17" t="str">
        <f>IF(D62="","",SUMIFS('Data entry'!$K$3:$K$1000,'Data entry'!$E$3:$E$1000,"Sale",'Data entry'!$G$3:$G$1000,D62))</f>
        <v/>
      </c>
      <c r="I62" s="17" t="str">
        <f>IF(D62="","",SUMIFS('Data entry'!$K$3:$K$1000,'Data entry'!$E$3:$E$1000,"Sale",'Data entry'!$G$3:$G$1000,D62)-SUMIFS('Data entry'!$K$3:$K$1000,'Data entry'!$E$3:$E$1000,"Purchase",'Data entry'!$G$3:$G$1000,D62))</f>
        <v/>
      </c>
      <c r="J62" s="16" t="str">
        <f>IF(D62="","",SUMIFS('Data entry'!$J$3:$J$1000,'Data entry'!$E$3:$E$1000,"Sale",'Data entry'!$G$3:$G$1000,D62))</f>
        <v/>
      </c>
      <c r="K62" s="16" t="str">
        <f>IF(D62="","",SUMIFS('Data entry'!$J$3:$J$1000,'Data entry'!$E$3:$E$1000,"Purchase",'Data entry'!$G$3:$G$1000,D62))</f>
        <v/>
      </c>
      <c r="L62" s="16" t="str">
        <f t="shared" si="5"/>
        <v/>
      </c>
      <c r="M62" s="15"/>
      <c r="N62" s="16" t="str">
        <f t="shared" si="1"/>
        <v/>
      </c>
      <c r="O62" s="44"/>
      <c r="P62" s="45"/>
      <c r="Q62" s="46" t="str">
        <f>IF(O62="","",SUMIFS('Data entry'!$K$3:$K$1000,'Data entry'!$E$3:$E$1000,"Supply",'Data entry'!$G$3:$G$1000,O62))</f>
        <v/>
      </c>
      <c r="R62" s="46" t="str">
        <f t="shared" si="2"/>
        <v/>
      </c>
      <c r="S62" s="43"/>
      <c r="T62" s="47" t="str">
        <f>IF(O62="","",SUMIFS('Data entry'!$J$3:$J$1000,'Data entry'!$E$3:$E$1000,"Supply",'Data entry'!$F$3:$F$1000,O62))</f>
        <v/>
      </c>
      <c r="U62" s="48"/>
      <c r="V62" s="48" t="str">
        <f t="shared" si="4"/>
        <v/>
      </c>
      <c r="W62" s="43" t="str">
        <f t="shared" si="3"/>
        <v/>
      </c>
    </row>
    <row r="63" spans="2:23" ht="15" thickBot="1" x14ac:dyDescent="0.35">
      <c r="B63" s="36"/>
      <c r="C63" s="15"/>
      <c r="D63" s="15"/>
      <c r="E63" s="42"/>
      <c r="F63" s="15"/>
      <c r="G63" s="17" t="str">
        <f>IF(D63="","",SUMIFS('Data entry'!$K$3:$K$1000,'Data entry'!$E$3:$E$1000,"Purchase",'Data entry'!$G$3:$G$1000,D63))</f>
        <v/>
      </c>
      <c r="H63" s="17" t="str">
        <f>IF(D63="","",SUMIFS('Data entry'!$K$3:$K$1000,'Data entry'!$E$3:$E$1000,"Sale",'Data entry'!$G$3:$G$1000,D63))</f>
        <v/>
      </c>
      <c r="I63" s="17" t="str">
        <f>IF(D63="","",SUMIFS('Data entry'!$K$3:$K$1000,'Data entry'!$E$3:$E$1000,"Sale",'Data entry'!$G$3:$G$1000,D63)-SUMIFS('Data entry'!$K$3:$K$1000,'Data entry'!$E$3:$E$1000,"Purchase",'Data entry'!$G$3:$G$1000,D63))</f>
        <v/>
      </c>
      <c r="J63" s="16" t="str">
        <f>IF(D63="","",SUMIFS('Data entry'!$J$3:$J$1000,'Data entry'!$E$3:$E$1000,"Sale",'Data entry'!$G$3:$G$1000,D63))</f>
        <v/>
      </c>
      <c r="K63" s="16" t="str">
        <f>IF(D63="","",SUMIFS('Data entry'!$J$3:$J$1000,'Data entry'!$E$3:$E$1000,"Purchase",'Data entry'!$G$3:$G$1000,D63))</f>
        <v/>
      </c>
      <c r="L63" s="16" t="str">
        <f t="shared" si="5"/>
        <v/>
      </c>
      <c r="M63" s="15"/>
      <c r="N63" s="16" t="str">
        <f t="shared" si="1"/>
        <v/>
      </c>
      <c r="O63" s="44"/>
      <c r="P63" s="45"/>
      <c r="Q63" s="46" t="str">
        <f>IF(O63="","",SUMIFS('Data entry'!$K$3:$K$1000,'Data entry'!$E$3:$E$1000,"Supply",'Data entry'!$G$3:$G$1000,O63))</f>
        <v/>
      </c>
      <c r="R63" s="46" t="str">
        <f t="shared" si="2"/>
        <v/>
      </c>
      <c r="S63" s="43"/>
      <c r="T63" s="47" t="str">
        <f>IF(O63="","",SUMIFS('Data entry'!$J$3:$J$1000,'Data entry'!$E$3:$E$1000,"Supply",'Data entry'!$F$3:$F$1000,O63))</f>
        <v/>
      </c>
      <c r="U63" s="48"/>
      <c r="V63" s="48" t="str">
        <f t="shared" si="4"/>
        <v/>
      </c>
      <c r="W63" s="43" t="str">
        <f t="shared" si="3"/>
        <v/>
      </c>
    </row>
    <row r="64" spans="2:23" ht="15" thickBot="1" x14ac:dyDescent="0.35">
      <c r="B64" s="36"/>
      <c r="C64" s="15"/>
      <c r="D64" s="15"/>
      <c r="E64" s="42"/>
      <c r="F64" s="15"/>
      <c r="G64" s="17" t="str">
        <f>IF(D64="","",SUMIFS('Data entry'!$K$3:$K$1000,'Data entry'!$E$3:$E$1000,"Purchase",'Data entry'!$G$3:$G$1000,D64))</f>
        <v/>
      </c>
      <c r="H64" s="17" t="str">
        <f>IF(D64="","",SUMIFS('Data entry'!$K$3:$K$1000,'Data entry'!$E$3:$E$1000,"Sale",'Data entry'!$G$3:$G$1000,D64))</f>
        <v/>
      </c>
      <c r="I64" s="17" t="str">
        <f>IF(D64="","",SUMIFS('Data entry'!$K$3:$K$1000,'Data entry'!$E$3:$E$1000,"Sale",'Data entry'!$G$3:$G$1000,D64)-SUMIFS('Data entry'!$K$3:$K$1000,'Data entry'!$E$3:$E$1000,"Purchase",'Data entry'!$G$3:$G$1000,D64))</f>
        <v/>
      </c>
      <c r="J64" s="16" t="str">
        <f>IF(D64="","",SUMIFS('Data entry'!$J$3:$J$1000,'Data entry'!$E$3:$E$1000,"Sale",'Data entry'!$G$3:$G$1000,D64))</f>
        <v/>
      </c>
      <c r="K64" s="16" t="str">
        <f>IF(D64="","",SUMIFS('Data entry'!$J$3:$J$1000,'Data entry'!$E$3:$E$1000,"Purchase",'Data entry'!$G$3:$G$1000,D64))</f>
        <v/>
      </c>
      <c r="L64" s="16" t="str">
        <f t="shared" si="5"/>
        <v/>
      </c>
      <c r="M64" s="15"/>
      <c r="N64" s="16" t="str">
        <f t="shared" si="1"/>
        <v/>
      </c>
      <c r="O64" s="44"/>
      <c r="P64" s="45"/>
      <c r="Q64" s="46" t="str">
        <f>IF(O64="","",SUMIFS('Data entry'!$K$3:$K$1000,'Data entry'!$E$3:$E$1000,"Supply",'Data entry'!$G$3:$G$1000,O64))</f>
        <v/>
      </c>
      <c r="R64" s="46" t="str">
        <f t="shared" si="2"/>
        <v/>
      </c>
      <c r="S64" s="43"/>
      <c r="T64" s="47" t="str">
        <f>IF(O64="","",SUMIFS('Data entry'!$J$3:$J$1000,'Data entry'!$E$3:$E$1000,"Supply",'Data entry'!$F$3:$F$1000,O64))</f>
        <v/>
      </c>
      <c r="U64" s="48"/>
      <c r="V64" s="48" t="str">
        <f t="shared" si="4"/>
        <v/>
      </c>
      <c r="W64" s="43" t="str">
        <f t="shared" si="3"/>
        <v/>
      </c>
    </row>
    <row r="65" spans="2:23" ht="15" thickBot="1" x14ac:dyDescent="0.35">
      <c r="B65" s="36"/>
      <c r="C65" s="15"/>
      <c r="D65" s="15"/>
      <c r="E65" s="42"/>
      <c r="F65" s="15"/>
      <c r="G65" s="17" t="str">
        <f>IF(D65="","",SUMIFS('Data entry'!$K$3:$K$1000,'Data entry'!$E$3:$E$1000,"Purchase",'Data entry'!$G$3:$G$1000,D65))</f>
        <v/>
      </c>
      <c r="H65" s="17" t="str">
        <f>IF(D65="","",SUMIFS('Data entry'!$K$3:$K$1000,'Data entry'!$E$3:$E$1000,"Sale",'Data entry'!$G$3:$G$1000,D65))</f>
        <v/>
      </c>
      <c r="I65" s="17" t="str">
        <f>IF(D65="","",SUMIFS('Data entry'!$K$3:$K$1000,'Data entry'!$E$3:$E$1000,"Sale",'Data entry'!$G$3:$G$1000,D65)-SUMIFS('Data entry'!$K$3:$K$1000,'Data entry'!$E$3:$E$1000,"Purchase",'Data entry'!$G$3:$G$1000,D65))</f>
        <v/>
      </c>
      <c r="J65" s="16" t="str">
        <f>IF(D65="","",SUMIFS('Data entry'!$J$3:$J$1000,'Data entry'!$E$3:$E$1000,"Sale",'Data entry'!$G$3:$G$1000,D65))</f>
        <v/>
      </c>
      <c r="K65" s="16" t="str">
        <f>IF(D65="","",SUMIFS('Data entry'!$J$3:$J$1000,'Data entry'!$E$3:$E$1000,"Purchase",'Data entry'!$G$3:$G$1000,D65))</f>
        <v/>
      </c>
      <c r="L65" s="16" t="str">
        <f t="shared" si="5"/>
        <v/>
      </c>
      <c r="M65" s="15"/>
      <c r="N65" s="16" t="str">
        <f t="shared" si="1"/>
        <v/>
      </c>
      <c r="O65" s="44"/>
      <c r="P65" s="45"/>
      <c r="Q65" s="46" t="str">
        <f>IF(O65="","",SUMIFS('Data entry'!$K$3:$K$1000,'Data entry'!$E$3:$E$1000,"Supply",'Data entry'!$G$3:$G$1000,O65))</f>
        <v/>
      </c>
      <c r="R65" s="46" t="str">
        <f t="shared" si="2"/>
        <v/>
      </c>
      <c r="S65" s="43"/>
      <c r="T65" s="47" t="str">
        <f>IF(O65="","",SUMIFS('Data entry'!$J$3:$J$1000,'Data entry'!$E$3:$E$1000,"Supply",'Data entry'!$F$3:$F$1000,O65))</f>
        <v/>
      </c>
      <c r="U65" s="48"/>
      <c r="V65" s="48" t="str">
        <f t="shared" si="4"/>
        <v/>
      </c>
      <c r="W65" s="43" t="str">
        <f t="shared" si="3"/>
        <v/>
      </c>
    </row>
    <row r="66" spans="2:23" ht="15" thickBot="1" x14ac:dyDescent="0.35">
      <c r="B66" s="36"/>
      <c r="C66" s="15"/>
      <c r="D66" s="15"/>
      <c r="E66" s="42"/>
      <c r="F66" s="15"/>
      <c r="G66" s="17" t="str">
        <f>IF(D66="","",SUMIFS('Data entry'!$K$3:$K$1000,'Data entry'!$E$3:$E$1000,"Purchase",'Data entry'!$G$3:$G$1000,D66))</f>
        <v/>
      </c>
      <c r="H66" s="17" t="str">
        <f>IF(D66="","",SUMIFS('Data entry'!$K$3:$K$1000,'Data entry'!$E$3:$E$1000,"Sale",'Data entry'!$G$3:$G$1000,D66))</f>
        <v/>
      </c>
      <c r="I66" s="17" t="str">
        <f>IF(D66="","",SUMIFS('Data entry'!$K$3:$K$1000,'Data entry'!$E$3:$E$1000,"Sale",'Data entry'!$G$3:$G$1000,D66)-SUMIFS('Data entry'!$K$3:$K$1000,'Data entry'!$E$3:$E$1000,"Purchase",'Data entry'!$G$3:$G$1000,D66))</f>
        <v/>
      </c>
      <c r="J66" s="16" t="str">
        <f>IF(D66="","",SUMIFS('Data entry'!$J$3:$J$1000,'Data entry'!$E$3:$E$1000,"Sale",'Data entry'!$G$3:$G$1000,D66))</f>
        <v/>
      </c>
      <c r="K66" s="16" t="str">
        <f>IF(D66="","",SUMIFS('Data entry'!$J$3:$J$1000,'Data entry'!$E$3:$E$1000,"Purchase",'Data entry'!$G$3:$G$1000,D66))</f>
        <v/>
      </c>
      <c r="L66" s="16" t="str">
        <f t="shared" si="5"/>
        <v/>
      </c>
      <c r="M66" s="15"/>
      <c r="N66" s="16" t="str">
        <f t="shared" si="1"/>
        <v/>
      </c>
      <c r="O66" s="44"/>
      <c r="P66" s="45"/>
      <c r="Q66" s="46" t="str">
        <f>IF(O66="","",SUMIFS('Data entry'!$K$3:$K$1000,'Data entry'!$E$3:$E$1000,"Supply",'Data entry'!$G$3:$G$1000,O66))</f>
        <v/>
      </c>
      <c r="R66" s="46" t="str">
        <f t="shared" si="2"/>
        <v/>
      </c>
      <c r="S66" s="43"/>
      <c r="T66" s="47" t="str">
        <f>IF(O66="","",SUMIFS('Data entry'!$J$3:$J$1000,'Data entry'!$E$3:$E$1000,"Supply",'Data entry'!$F$3:$F$1000,O66))</f>
        <v/>
      </c>
      <c r="U66" s="48"/>
      <c r="V66" s="48" t="str">
        <f t="shared" si="4"/>
        <v/>
      </c>
      <c r="W66" s="43" t="str">
        <f t="shared" si="3"/>
        <v/>
      </c>
    </row>
    <row r="67" spans="2:23" ht="15" thickBot="1" x14ac:dyDescent="0.35">
      <c r="B67" s="36"/>
      <c r="C67" s="15"/>
      <c r="D67" s="15"/>
      <c r="E67" s="42"/>
      <c r="F67" s="15"/>
      <c r="G67" s="17" t="str">
        <f>IF(D67="","",SUMIFS('Data entry'!$K$3:$K$1000,'Data entry'!$E$3:$E$1000,"Purchase",'Data entry'!$G$3:$G$1000,D67))</f>
        <v/>
      </c>
      <c r="H67" s="17" t="str">
        <f>IF(D67="","",SUMIFS('Data entry'!$K$3:$K$1000,'Data entry'!$E$3:$E$1000,"Sale",'Data entry'!$G$3:$G$1000,D67))</f>
        <v/>
      </c>
      <c r="I67" s="17" t="str">
        <f>IF(D67="","",SUMIFS('Data entry'!$K$3:$K$1000,'Data entry'!$E$3:$E$1000,"Sale",'Data entry'!$G$3:$G$1000,D67)-SUMIFS('Data entry'!$K$3:$K$1000,'Data entry'!$E$3:$E$1000,"Purchase",'Data entry'!$G$3:$G$1000,D67))</f>
        <v/>
      </c>
      <c r="J67" s="16" t="str">
        <f>IF(D67="","",SUMIFS('Data entry'!$J$3:$J$1000,'Data entry'!$E$3:$E$1000,"Sale",'Data entry'!$G$3:$G$1000,D67))</f>
        <v/>
      </c>
      <c r="K67" s="16" t="str">
        <f>IF(D67="","",SUMIFS('Data entry'!$J$3:$J$1000,'Data entry'!$E$3:$E$1000,"Purchase",'Data entry'!$G$3:$G$1000,D67))</f>
        <v/>
      </c>
      <c r="L67" s="16" t="str">
        <f t="shared" ref="L67:L98" si="6">IFERROR(F67+K67-J67,"")</f>
        <v/>
      </c>
      <c r="M67" s="15"/>
      <c r="N67" s="16" t="str">
        <f t="shared" si="1"/>
        <v/>
      </c>
      <c r="O67" s="44"/>
      <c r="P67" s="45"/>
      <c r="Q67" s="46" t="str">
        <f>IF(O67="","",SUMIFS('Data entry'!$K$3:$K$1000,'Data entry'!$E$3:$E$1000,"Supply",'Data entry'!$G$3:$G$1000,O67))</f>
        <v/>
      </c>
      <c r="R67" s="46" t="str">
        <f t="shared" si="2"/>
        <v/>
      </c>
      <c r="S67" s="43"/>
      <c r="T67" s="47" t="str">
        <f>IF(O67="","",SUMIFS('Data entry'!$J$3:$J$1000,'Data entry'!$E$3:$E$1000,"Supply",'Data entry'!$F$3:$F$1000,O67))</f>
        <v/>
      </c>
      <c r="U67" s="48"/>
      <c r="V67" s="48" t="str">
        <f t="shared" si="4"/>
        <v/>
      </c>
      <c r="W67" s="43" t="str">
        <f t="shared" si="3"/>
        <v/>
      </c>
    </row>
    <row r="68" spans="2:23" ht="15" thickBot="1" x14ac:dyDescent="0.35">
      <c r="B68" s="36"/>
      <c r="C68" s="15"/>
      <c r="D68" s="15"/>
      <c r="E68" s="42"/>
      <c r="F68" s="15"/>
      <c r="G68" s="17" t="str">
        <f>IF(D68="","",SUMIFS('Data entry'!$K$3:$K$1000,'Data entry'!$E$3:$E$1000,"Purchase",'Data entry'!$G$3:$G$1000,D68))</f>
        <v/>
      </c>
      <c r="H68" s="17" t="str">
        <f>IF(D68="","",SUMIFS('Data entry'!$K$3:$K$1000,'Data entry'!$E$3:$E$1000,"Sale",'Data entry'!$G$3:$G$1000,D68))</f>
        <v/>
      </c>
      <c r="I68" s="17" t="str">
        <f>IF(D68="","",SUMIFS('Data entry'!$K$3:$K$1000,'Data entry'!$E$3:$E$1000,"Sale",'Data entry'!$G$3:$G$1000,D68)-SUMIFS('Data entry'!$K$3:$K$1000,'Data entry'!$E$3:$E$1000,"Purchase",'Data entry'!$G$3:$G$1000,D68))</f>
        <v/>
      </c>
      <c r="J68" s="16" t="str">
        <f>IF(D68="","",SUMIFS('Data entry'!$J$3:$J$1000,'Data entry'!$E$3:$E$1000,"Sale",'Data entry'!$G$3:$G$1000,D68))</f>
        <v/>
      </c>
      <c r="K68" s="16" t="str">
        <f>IF(D68="","",SUMIFS('Data entry'!$J$3:$J$1000,'Data entry'!$E$3:$E$1000,"Purchase",'Data entry'!$G$3:$G$1000,D68))</f>
        <v/>
      </c>
      <c r="L68" s="16" t="str">
        <f t="shared" si="6"/>
        <v/>
      </c>
      <c r="M68" s="15"/>
      <c r="N68" s="16" t="str">
        <f t="shared" ref="N68:N100" si="7">IF(L68="","",IF(L68&lt;M68,"Out of stock",IF(L68&gt;(M68+3),"In stock","Stock running out")))</f>
        <v/>
      </c>
      <c r="O68" s="44"/>
      <c r="P68" s="45"/>
      <c r="Q68" s="46" t="str">
        <f>IF(O68="","",SUMIFS('Data entry'!$K$3:$K$1000,'Data entry'!$E$3:$E$1000,"Supply",'Data entry'!$G$3:$G$1000,O68))</f>
        <v/>
      </c>
      <c r="R68" s="46" t="str">
        <f t="shared" ref="R68:R100" si="8">IF(P68="","",P68*U68)</f>
        <v/>
      </c>
      <c r="S68" s="43"/>
      <c r="T68" s="47" t="str">
        <f>IF(O68="","",SUMIFS('Data entry'!$J$3:$J$1000,'Data entry'!$E$3:$E$1000,"Supply",'Data entry'!$F$3:$F$1000,O68))</f>
        <v/>
      </c>
      <c r="U68" s="48"/>
      <c r="V68" s="48" t="str">
        <f t="shared" si="4"/>
        <v/>
      </c>
      <c r="W68" s="43" t="str">
        <f t="shared" ref="W68:W100" si="9">IF(O68="","",IF(V68&gt;0,"In stock","Out of stock"))</f>
        <v/>
      </c>
    </row>
    <row r="69" spans="2:23" ht="15" thickBot="1" x14ac:dyDescent="0.35">
      <c r="B69" s="36"/>
      <c r="C69" s="15"/>
      <c r="D69" s="15"/>
      <c r="E69" s="42"/>
      <c r="F69" s="15"/>
      <c r="G69" s="17" t="str">
        <f>IF(D69="","",SUMIFS('Data entry'!$K$3:$K$1000,'Data entry'!$E$3:$E$1000,"Purchase",'Data entry'!$G$3:$G$1000,D69))</f>
        <v/>
      </c>
      <c r="H69" s="17" t="str">
        <f>IF(D69="","",SUMIFS('Data entry'!$K$3:$K$1000,'Data entry'!$E$3:$E$1000,"Sale",'Data entry'!$G$3:$G$1000,D69))</f>
        <v/>
      </c>
      <c r="I69" s="17" t="str">
        <f>IF(D69="","",SUMIFS('Data entry'!$K$3:$K$1000,'Data entry'!$E$3:$E$1000,"Sale",'Data entry'!$G$3:$G$1000,D69)-SUMIFS('Data entry'!$K$3:$K$1000,'Data entry'!$E$3:$E$1000,"Purchase",'Data entry'!$G$3:$G$1000,D69))</f>
        <v/>
      </c>
      <c r="J69" s="16" t="str">
        <f>IF(D69="","",SUMIFS('Data entry'!$J$3:$J$1000,'Data entry'!$E$3:$E$1000,"Sale",'Data entry'!$G$3:$G$1000,D69))</f>
        <v/>
      </c>
      <c r="K69" s="16" t="str">
        <f>IF(D69="","",SUMIFS('Data entry'!$J$3:$J$1000,'Data entry'!$E$3:$E$1000,"Purchase",'Data entry'!$G$3:$G$1000,D69))</f>
        <v/>
      </c>
      <c r="L69" s="16" t="str">
        <f t="shared" si="6"/>
        <v/>
      </c>
      <c r="M69" s="15"/>
      <c r="N69" s="16" t="str">
        <f t="shared" si="7"/>
        <v/>
      </c>
      <c r="O69" s="44"/>
      <c r="P69" s="45"/>
      <c r="Q69" s="46" t="str">
        <f>IF(O69="","",SUMIFS('Data entry'!$K$3:$K$1000,'Data entry'!$E$3:$E$1000,"Supply",'Data entry'!$G$3:$G$1000,O69))</f>
        <v/>
      </c>
      <c r="R69" s="46" t="str">
        <f t="shared" si="8"/>
        <v/>
      </c>
      <c r="S69" s="43"/>
      <c r="T69" s="47" t="str">
        <f>IF(O69="","",SUMIFS('Data entry'!$J$3:$J$1000,'Data entry'!$E$3:$E$1000,"Supply",'Data entry'!$F$3:$F$1000,O69))</f>
        <v/>
      </c>
      <c r="U69" s="48"/>
      <c r="V69" s="48" t="str">
        <f t="shared" ref="V69:V100" si="10">IF(T69="","",T69-U69)</f>
        <v/>
      </c>
      <c r="W69" s="43" t="str">
        <f t="shared" si="9"/>
        <v/>
      </c>
    </row>
    <row r="70" spans="2:23" ht="15" thickBot="1" x14ac:dyDescent="0.35">
      <c r="B70" s="36"/>
      <c r="C70" s="15"/>
      <c r="D70" s="15"/>
      <c r="E70" s="42"/>
      <c r="F70" s="15"/>
      <c r="G70" s="17" t="str">
        <f>IF(D70="","",SUMIFS('Data entry'!$K$3:$K$1000,'Data entry'!$E$3:$E$1000,"Purchase",'Data entry'!$G$3:$G$1000,D70))</f>
        <v/>
      </c>
      <c r="H70" s="17" t="str">
        <f>IF(D70="","",SUMIFS('Data entry'!$K$3:$K$1000,'Data entry'!$E$3:$E$1000,"Sale",'Data entry'!$G$3:$G$1000,D70))</f>
        <v/>
      </c>
      <c r="I70" s="17" t="str">
        <f>IF(D70="","",SUMIFS('Data entry'!$K$3:$K$1000,'Data entry'!$E$3:$E$1000,"Sale",'Data entry'!$G$3:$G$1000,D70)-SUMIFS('Data entry'!$K$3:$K$1000,'Data entry'!$E$3:$E$1000,"Purchase",'Data entry'!$G$3:$G$1000,D70))</f>
        <v/>
      </c>
      <c r="J70" s="16" t="str">
        <f>IF(D70="","",SUMIFS('Data entry'!$J$3:$J$1000,'Data entry'!$E$3:$E$1000,"Sale",'Data entry'!$G$3:$G$1000,D70))</f>
        <v/>
      </c>
      <c r="K70" s="16" t="str">
        <f>IF(D70="","",SUMIFS('Data entry'!$J$3:$J$1000,'Data entry'!$E$3:$E$1000,"Purchase",'Data entry'!$G$3:$G$1000,D70))</f>
        <v/>
      </c>
      <c r="L70" s="16" t="str">
        <f t="shared" si="6"/>
        <v/>
      </c>
      <c r="M70" s="15"/>
      <c r="N70" s="16" t="str">
        <f t="shared" si="7"/>
        <v/>
      </c>
      <c r="O70" s="44"/>
      <c r="P70" s="45"/>
      <c r="Q70" s="46" t="str">
        <f>IF(O70="","",SUMIFS('Data entry'!$K$3:$K$1000,'Data entry'!$E$3:$E$1000,"Supply",'Data entry'!$G$3:$G$1000,O70))</f>
        <v/>
      </c>
      <c r="R70" s="46" t="str">
        <f t="shared" si="8"/>
        <v/>
      </c>
      <c r="S70" s="43"/>
      <c r="T70" s="47" t="str">
        <f>IF(O70="","",SUMIFS('Data entry'!$J$3:$J$1000,'Data entry'!$E$3:$E$1000,"Supply",'Data entry'!$F$3:$F$1000,O70))</f>
        <v/>
      </c>
      <c r="U70" s="48"/>
      <c r="V70" s="48" t="str">
        <f t="shared" si="10"/>
        <v/>
      </c>
      <c r="W70" s="43" t="str">
        <f t="shared" si="9"/>
        <v/>
      </c>
    </row>
    <row r="71" spans="2:23" ht="15" thickBot="1" x14ac:dyDescent="0.35">
      <c r="B71" s="36"/>
      <c r="C71" s="15"/>
      <c r="D71" s="15"/>
      <c r="E71" s="42"/>
      <c r="F71" s="15"/>
      <c r="G71" s="17" t="str">
        <f>IF(D71="","",SUMIFS('Data entry'!$K$3:$K$1000,'Data entry'!$E$3:$E$1000,"Purchase",'Data entry'!$G$3:$G$1000,D71))</f>
        <v/>
      </c>
      <c r="H71" s="17" t="str">
        <f>IF(D71="","",SUMIFS('Data entry'!$K$3:$K$1000,'Data entry'!$E$3:$E$1000,"Sale",'Data entry'!$G$3:$G$1000,D71))</f>
        <v/>
      </c>
      <c r="I71" s="17" t="str">
        <f>IF(D71="","",SUMIFS('Data entry'!$K$3:$K$1000,'Data entry'!$E$3:$E$1000,"Sale",'Data entry'!$G$3:$G$1000,D71)-SUMIFS('Data entry'!$K$3:$K$1000,'Data entry'!$E$3:$E$1000,"Purchase",'Data entry'!$G$3:$G$1000,D71))</f>
        <v/>
      </c>
      <c r="J71" s="16" t="str">
        <f>IF(D71="","",SUMIFS('Data entry'!$J$3:$J$1000,'Data entry'!$E$3:$E$1000,"Sale",'Data entry'!$G$3:$G$1000,D71))</f>
        <v/>
      </c>
      <c r="K71" s="16" t="str">
        <f>IF(D71="","",SUMIFS('Data entry'!$J$3:$J$1000,'Data entry'!$E$3:$E$1000,"Purchase",'Data entry'!$G$3:$G$1000,D71))</f>
        <v/>
      </c>
      <c r="L71" s="16" t="str">
        <f t="shared" si="6"/>
        <v/>
      </c>
      <c r="M71" s="15"/>
      <c r="N71" s="16" t="str">
        <f t="shared" si="7"/>
        <v/>
      </c>
      <c r="O71" s="44"/>
      <c r="P71" s="45"/>
      <c r="Q71" s="46" t="str">
        <f>IF(O71="","",SUMIFS('Data entry'!$K$3:$K$1000,'Data entry'!$E$3:$E$1000,"Supply",'Data entry'!$G$3:$G$1000,O71))</f>
        <v/>
      </c>
      <c r="R71" s="46" t="str">
        <f t="shared" si="8"/>
        <v/>
      </c>
      <c r="S71" s="43"/>
      <c r="T71" s="47" t="str">
        <f>IF(O71="","",SUMIFS('Data entry'!$J$3:$J$1000,'Data entry'!$E$3:$E$1000,"Supply",'Data entry'!$F$3:$F$1000,O71))</f>
        <v/>
      </c>
      <c r="U71" s="48"/>
      <c r="V71" s="48" t="str">
        <f t="shared" si="10"/>
        <v/>
      </c>
      <c r="W71" s="43" t="str">
        <f t="shared" si="9"/>
        <v/>
      </c>
    </row>
    <row r="72" spans="2:23" ht="15" thickBot="1" x14ac:dyDescent="0.35">
      <c r="B72" s="36"/>
      <c r="C72" s="15"/>
      <c r="D72" s="15"/>
      <c r="E72" s="42"/>
      <c r="F72" s="15"/>
      <c r="G72" s="17" t="str">
        <f>IF(D72="","",SUMIFS('Data entry'!$K$3:$K$1000,'Data entry'!$E$3:$E$1000,"Purchase",'Data entry'!$G$3:$G$1000,D72))</f>
        <v/>
      </c>
      <c r="H72" s="17" t="str">
        <f>IF(D72="","",SUMIFS('Data entry'!$K$3:$K$1000,'Data entry'!$E$3:$E$1000,"Sale",'Data entry'!$G$3:$G$1000,D72))</f>
        <v/>
      </c>
      <c r="I72" s="17" t="str">
        <f>IF(D72="","",SUMIFS('Data entry'!$K$3:$K$1000,'Data entry'!$E$3:$E$1000,"Sale",'Data entry'!$G$3:$G$1000,D72)-SUMIFS('Data entry'!$K$3:$K$1000,'Data entry'!$E$3:$E$1000,"Purchase",'Data entry'!$G$3:$G$1000,D72))</f>
        <v/>
      </c>
      <c r="J72" s="16" t="str">
        <f>IF(D72="","",SUMIFS('Data entry'!$J$3:$J$1000,'Data entry'!$E$3:$E$1000,"Sale",'Data entry'!$G$3:$G$1000,D72))</f>
        <v/>
      </c>
      <c r="K72" s="16" t="str">
        <f>IF(D72="","",SUMIFS('Data entry'!$J$3:$J$1000,'Data entry'!$E$3:$E$1000,"Purchase",'Data entry'!$G$3:$G$1000,D72))</f>
        <v/>
      </c>
      <c r="L72" s="16" t="str">
        <f t="shared" si="6"/>
        <v/>
      </c>
      <c r="M72" s="15"/>
      <c r="N72" s="16" t="str">
        <f t="shared" si="7"/>
        <v/>
      </c>
      <c r="O72" s="44"/>
      <c r="P72" s="45"/>
      <c r="Q72" s="46" t="str">
        <f>IF(O72="","",SUMIFS('Data entry'!$K$3:$K$1000,'Data entry'!$E$3:$E$1000,"Supply",'Data entry'!$G$3:$G$1000,O72))</f>
        <v/>
      </c>
      <c r="R72" s="46" t="str">
        <f t="shared" si="8"/>
        <v/>
      </c>
      <c r="S72" s="43"/>
      <c r="T72" s="47" t="str">
        <f>IF(O72="","",SUMIFS('Data entry'!$J$3:$J$1000,'Data entry'!$E$3:$E$1000,"Supply",'Data entry'!$F$3:$F$1000,O72))</f>
        <v/>
      </c>
      <c r="U72" s="48"/>
      <c r="V72" s="48" t="str">
        <f t="shared" si="10"/>
        <v/>
      </c>
      <c r="W72" s="43" t="str">
        <f t="shared" si="9"/>
        <v/>
      </c>
    </row>
    <row r="73" spans="2:23" ht="15" thickBot="1" x14ac:dyDescent="0.35">
      <c r="B73" s="36"/>
      <c r="C73" s="15"/>
      <c r="D73" s="15"/>
      <c r="E73" s="42"/>
      <c r="F73" s="15"/>
      <c r="G73" s="17" t="str">
        <f>IF(D73="","",SUMIFS('Data entry'!$K$3:$K$1000,'Data entry'!$E$3:$E$1000,"Purchase",'Data entry'!$G$3:$G$1000,D73))</f>
        <v/>
      </c>
      <c r="H73" s="17" t="str">
        <f>IF(D73="","",SUMIFS('Data entry'!$K$3:$K$1000,'Data entry'!$E$3:$E$1000,"Sale",'Data entry'!$G$3:$G$1000,D73))</f>
        <v/>
      </c>
      <c r="I73" s="17" t="str">
        <f>IF(D73="","",SUMIFS('Data entry'!$K$3:$K$1000,'Data entry'!$E$3:$E$1000,"Sale",'Data entry'!$G$3:$G$1000,D73)-SUMIFS('Data entry'!$K$3:$K$1000,'Data entry'!$E$3:$E$1000,"Purchase",'Data entry'!$G$3:$G$1000,D73))</f>
        <v/>
      </c>
      <c r="J73" s="16" t="str">
        <f>IF(D73="","",SUMIFS('Data entry'!$J$3:$J$1000,'Data entry'!$E$3:$E$1000,"Sale",'Data entry'!$G$3:$G$1000,D73))</f>
        <v/>
      </c>
      <c r="K73" s="16" t="str">
        <f>IF(D73="","",SUMIFS('Data entry'!$J$3:$J$1000,'Data entry'!$E$3:$E$1000,"Purchase",'Data entry'!$G$3:$G$1000,D73))</f>
        <v/>
      </c>
      <c r="L73" s="16" t="str">
        <f t="shared" si="6"/>
        <v/>
      </c>
      <c r="M73" s="15"/>
      <c r="N73" s="16" t="str">
        <f t="shared" si="7"/>
        <v/>
      </c>
      <c r="O73" s="44"/>
      <c r="P73" s="45"/>
      <c r="Q73" s="46" t="str">
        <f>IF(O73="","",SUMIFS('Data entry'!$K$3:$K$1000,'Data entry'!$E$3:$E$1000,"Supply",'Data entry'!$G$3:$G$1000,O73))</f>
        <v/>
      </c>
      <c r="R73" s="46" t="str">
        <f t="shared" si="8"/>
        <v/>
      </c>
      <c r="S73" s="43"/>
      <c r="T73" s="47" t="str">
        <f>IF(O73="","",SUMIFS('Data entry'!$J$3:$J$1000,'Data entry'!$E$3:$E$1000,"Supply",'Data entry'!$F$3:$F$1000,O73))</f>
        <v/>
      </c>
      <c r="U73" s="48"/>
      <c r="V73" s="48" t="str">
        <f t="shared" si="10"/>
        <v/>
      </c>
      <c r="W73" s="43" t="str">
        <f t="shared" si="9"/>
        <v/>
      </c>
    </row>
    <row r="74" spans="2:23" ht="15" thickBot="1" x14ac:dyDescent="0.35">
      <c r="B74" s="36"/>
      <c r="C74" s="15"/>
      <c r="D74" s="15"/>
      <c r="E74" s="42"/>
      <c r="F74" s="15"/>
      <c r="G74" s="17" t="str">
        <f>IF(D74="","",SUMIFS('Data entry'!$K$3:$K$1000,'Data entry'!$E$3:$E$1000,"Purchase",'Data entry'!$G$3:$G$1000,D74))</f>
        <v/>
      </c>
      <c r="H74" s="17" t="str">
        <f>IF(D74="","",SUMIFS('Data entry'!$K$3:$K$1000,'Data entry'!$E$3:$E$1000,"Sale",'Data entry'!$G$3:$G$1000,D74))</f>
        <v/>
      </c>
      <c r="I74" s="17" t="str">
        <f>IF(D74="","",SUMIFS('Data entry'!$K$3:$K$1000,'Data entry'!$E$3:$E$1000,"Sale",'Data entry'!$G$3:$G$1000,D74)-SUMIFS('Data entry'!$K$3:$K$1000,'Data entry'!$E$3:$E$1000,"Purchase",'Data entry'!$G$3:$G$1000,D74))</f>
        <v/>
      </c>
      <c r="J74" s="16" t="str">
        <f>IF(D74="","",SUMIFS('Data entry'!$J$3:$J$1000,'Data entry'!$E$3:$E$1000,"Sale",'Data entry'!$G$3:$G$1000,D74))</f>
        <v/>
      </c>
      <c r="K74" s="16" t="str">
        <f>IF(D74="","",SUMIFS('Data entry'!$J$3:$J$1000,'Data entry'!$E$3:$E$1000,"Purchase",'Data entry'!$G$3:$G$1000,D74))</f>
        <v/>
      </c>
      <c r="L74" s="16" t="str">
        <f t="shared" si="6"/>
        <v/>
      </c>
      <c r="M74" s="15"/>
      <c r="N74" s="16" t="str">
        <f t="shared" si="7"/>
        <v/>
      </c>
      <c r="O74" s="44"/>
      <c r="P74" s="45"/>
      <c r="Q74" s="46" t="str">
        <f>IF(O74="","",SUMIFS('Data entry'!$K$3:$K$1000,'Data entry'!$E$3:$E$1000,"Supply",'Data entry'!$G$3:$G$1000,O74))</f>
        <v/>
      </c>
      <c r="R74" s="46" t="str">
        <f t="shared" si="8"/>
        <v/>
      </c>
      <c r="S74" s="43"/>
      <c r="T74" s="47" t="str">
        <f>IF(O74="","",SUMIFS('Data entry'!$J$3:$J$1000,'Data entry'!$E$3:$E$1000,"Supply",'Data entry'!$F$3:$F$1000,O74))</f>
        <v/>
      </c>
      <c r="U74" s="48"/>
      <c r="V74" s="48" t="str">
        <f t="shared" si="10"/>
        <v/>
      </c>
      <c r="W74" s="43" t="str">
        <f t="shared" si="9"/>
        <v/>
      </c>
    </row>
    <row r="75" spans="2:23" ht="15" thickBot="1" x14ac:dyDescent="0.35">
      <c r="B75" s="36"/>
      <c r="C75" s="15"/>
      <c r="D75" s="15"/>
      <c r="E75" s="42"/>
      <c r="F75" s="15"/>
      <c r="G75" s="17" t="str">
        <f>IF(D75="","",SUMIFS('Data entry'!$K$3:$K$1000,'Data entry'!$E$3:$E$1000,"Purchase",'Data entry'!$G$3:$G$1000,D75))</f>
        <v/>
      </c>
      <c r="H75" s="17" t="str">
        <f>IF(D75="","",SUMIFS('Data entry'!$K$3:$K$1000,'Data entry'!$E$3:$E$1000,"Sale",'Data entry'!$G$3:$G$1000,D75))</f>
        <v/>
      </c>
      <c r="I75" s="17" t="str">
        <f>IF(D75="","",SUMIFS('Data entry'!$K$3:$K$1000,'Data entry'!$E$3:$E$1000,"Sale",'Data entry'!$G$3:$G$1000,D75)-SUMIFS('Data entry'!$K$3:$K$1000,'Data entry'!$E$3:$E$1000,"Purchase",'Data entry'!$G$3:$G$1000,D75))</f>
        <v/>
      </c>
      <c r="J75" s="16" t="str">
        <f>IF(D75="","",SUMIFS('Data entry'!$J$3:$J$1000,'Data entry'!$E$3:$E$1000,"Sale",'Data entry'!$G$3:$G$1000,D75))</f>
        <v/>
      </c>
      <c r="K75" s="16" t="str">
        <f>IF(D75="","",SUMIFS('Data entry'!$J$3:$J$1000,'Data entry'!$E$3:$E$1000,"Purchase",'Data entry'!$G$3:$G$1000,D75))</f>
        <v/>
      </c>
      <c r="L75" s="16" t="str">
        <f t="shared" si="6"/>
        <v/>
      </c>
      <c r="M75" s="15"/>
      <c r="N75" s="16" t="str">
        <f t="shared" si="7"/>
        <v/>
      </c>
      <c r="O75" s="44"/>
      <c r="P75" s="45"/>
      <c r="Q75" s="46" t="str">
        <f>IF(O75="","",SUMIFS('Data entry'!$K$3:$K$1000,'Data entry'!$E$3:$E$1000,"Supply",'Data entry'!$G$3:$G$1000,O75))</f>
        <v/>
      </c>
      <c r="R75" s="46" t="str">
        <f t="shared" si="8"/>
        <v/>
      </c>
      <c r="S75" s="43"/>
      <c r="T75" s="47" t="str">
        <f>IF(O75="","",SUMIFS('Data entry'!$J$3:$J$1000,'Data entry'!$E$3:$E$1000,"Supply",'Data entry'!$F$3:$F$1000,O75))</f>
        <v/>
      </c>
      <c r="U75" s="48"/>
      <c r="V75" s="48" t="str">
        <f t="shared" si="10"/>
        <v/>
      </c>
      <c r="W75" s="43" t="str">
        <f t="shared" si="9"/>
        <v/>
      </c>
    </row>
    <row r="76" spans="2:23" ht="15" thickBot="1" x14ac:dyDescent="0.35">
      <c r="B76" s="36"/>
      <c r="C76" s="15"/>
      <c r="D76" s="15"/>
      <c r="E76" s="42"/>
      <c r="F76" s="15"/>
      <c r="G76" s="17" t="str">
        <f>IF(D76="","",SUMIFS('Data entry'!$K$3:$K$1000,'Data entry'!$E$3:$E$1000,"Purchase",'Data entry'!$G$3:$G$1000,D76))</f>
        <v/>
      </c>
      <c r="H76" s="17" t="str">
        <f>IF(D76="","",SUMIFS('Data entry'!$K$3:$K$1000,'Data entry'!$E$3:$E$1000,"Sale",'Data entry'!$G$3:$G$1000,D76))</f>
        <v/>
      </c>
      <c r="I76" s="17" t="str">
        <f>IF(D76="","",SUMIFS('Data entry'!$K$3:$K$1000,'Data entry'!$E$3:$E$1000,"Sale",'Data entry'!$G$3:$G$1000,D76)-SUMIFS('Data entry'!$K$3:$K$1000,'Data entry'!$E$3:$E$1000,"Purchase",'Data entry'!$G$3:$G$1000,D76))</f>
        <v/>
      </c>
      <c r="J76" s="16" t="str">
        <f>IF(D76="","",SUMIFS('Data entry'!$J$3:$J$1000,'Data entry'!$E$3:$E$1000,"Sale",'Data entry'!$G$3:$G$1000,D76))</f>
        <v/>
      </c>
      <c r="K76" s="16" t="str">
        <f>IF(D76="","",SUMIFS('Data entry'!$J$3:$J$1000,'Data entry'!$E$3:$E$1000,"Purchase",'Data entry'!$G$3:$G$1000,D76))</f>
        <v/>
      </c>
      <c r="L76" s="16" t="str">
        <f t="shared" si="6"/>
        <v/>
      </c>
      <c r="M76" s="15"/>
      <c r="N76" s="16" t="str">
        <f t="shared" si="7"/>
        <v/>
      </c>
      <c r="O76" s="44"/>
      <c r="P76" s="45"/>
      <c r="Q76" s="46" t="str">
        <f>IF(O76="","",SUMIFS('Data entry'!$K$3:$K$1000,'Data entry'!$E$3:$E$1000,"Supply",'Data entry'!$G$3:$G$1000,O76))</f>
        <v/>
      </c>
      <c r="R76" s="46" t="str">
        <f t="shared" si="8"/>
        <v/>
      </c>
      <c r="S76" s="43"/>
      <c r="T76" s="47" t="str">
        <f>IF(O76="","",SUMIFS('Data entry'!$J$3:$J$1000,'Data entry'!$E$3:$E$1000,"Supply",'Data entry'!$F$3:$F$1000,O76))</f>
        <v/>
      </c>
      <c r="U76" s="48"/>
      <c r="V76" s="48" t="str">
        <f t="shared" si="10"/>
        <v/>
      </c>
      <c r="W76" s="43" t="str">
        <f t="shared" si="9"/>
        <v/>
      </c>
    </row>
    <row r="77" spans="2:23" ht="15" thickBot="1" x14ac:dyDescent="0.35">
      <c r="B77" s="36"/>
      <c r="C77" s="15"/>
      <c r="D77" s="15"/>
      <c r="E77" s="42"/>
      <c r="F77" s="15"/>
      <c r="G77" s="17" t="str">
        <f>IF(D77="","",SUMIFS('Data entry'!$K$3:$K$1000,'Data entry'!$E$3:$E$1000,"Purchase",'Data entry'!$G$3:$G$1000,D77))</f>
        <v/>
      </c>
      <c r="H77" s="17" t="str">
        <f>IF(D77="","",SUMIFS('Data entry'!$K$3:$K$1000,'Data entry'!$E$3:$E$1000,"Sale",'Data entry'!$G$3:$G$1000,D77))</f>
        <v/>
      </c>
      <c r="I77" s="17" t="str">
        <f>IF(D77="","",SUMIFS('Data entry'!$K$3:$K$1000,'Data entry'!$E$3:$E$1000,"Sale",'Data entry'!$G$3:$G$1000,D77)-SUMIFS('Data entry'!$K$3:$K$1000,'Data entry'!$E$3:$E$1000,"Purchase",'Data entry'!$G$3:$G$1000,D77))</f>
        <v/>
      </c>
      <c r="J77" s="16" t="str">
        <f>IF(D77="","",SUMIFS('Data entry'!$J$3:$J$1000,'Data entry'!$E$3:$E$1000,"Sale",'Data entry'!$G$3:$G$1000,D77))</f>
        <v/>
      </c>
      <c r="K77" s="16" t="str">
        <f>IF(D77="","",SUMIFS('Data entry'!$J$3:$J$1000,'Data entry'!$E$3:$E$1000,"Purchase",'Data entry'!$G$3:$G$1000,D77))</f>
        <v/>
      </c>
      <c r="L77" s="16" t="str">
        <f t="shared" si="6"/>
        <v/>
      </c>
      <c r="M77" s="15"/>
      <c r="N77" s="16" t="str">
        <f t="shared" si="7"/>
        <v/>
      </c>
      <c r="O77" s="44"/>
      <c r="P77" s="45"/>
      <c r="Q77" s="46" t="str">
        <f>IF(O77="","",SUMIFS('Data entry'!$K$3:$K$1000,'Data entry'!$E$3:$E$1000,"Supply",'Data entry'!$G$3:$G$1000,O77))</f>
        <v/>
      </c>
      <c r="R77" s="46" t="str">
        <f t="shared" si="8"/>
        <v/>
      </c>
      <c r="S77" s="43"/>
      <c r="T77" s="47" t="str">
        <f>IF(O77="","",SUMIFS('Data entry'!$J$3:$J$1000,'Data entry'!$E$3:$E$1000,"Supply",'Data entry'!$F$3:$F$1000,O77))</f>
        <v/>
      </c>
      <c r="U77" s="48"/>
      <c r="V77" s="48" t="str">
        <f t="shared" si="10"/>
        <v/>
      </c>
      <c r="W77" s="43" t="str">
        <f t="shared" si="9"/>
        <v/>
      </c>
    </row>
    <row r="78" spans="2:23" ht="15" thickBot="1" x14ac:dyDescent="0.35">
      <c r="B78" s="36"/>
      <c r="C78" s="15"/>
      <c r="D78" s="15"/>
      <c r="E78" s="42"/>
      <c r="F78" s="15"/>
      <c r="G78" s="17" t="str">
        <f>IF(D78="","",SUMIFS('Data entry'!$K$3:$K$1000,'Data entry'!$E$3:$E$1000,"Purchase",'Data entry'!$G$3:$G$1000,D78))</f>
        <v/>
      </c>
      <c r="H78" s="17" t="str">
        <f>IF(D78="","",SUMIFS('Data entry'!$K$3:$K$1000,'Data entry'!$E$3:$E$1000,"Sale",'Data entry'!$G$3:$G$1000,D78))</f>
        <v/>
      </c>
      <c r="I78" s="17" t="str">
        <f>IF(D78="","",SUMIFS('Data entry'!$K$3:$K$1000,'Data entry'!$E$3:$E$1000,"Sale",'Data entry'!$G$3:$G$1000,D78)-SUMIFS('Data entry'!$K$3:$K$1000,'Data entry'!$E$3:$E$1000,"Purchase",'Data entry'!$G$3:$G$1000,D78))</f>
        <v/>
      </c>
      <c r="J78" s="16" t="str">
        <f>IF(D78="","",SUMIFS('Data entry'!$J$3:$J$1000,'Data entry'!$E$3:$E$1000,"Sale",'Data entry'!$G$3:$G$1000,D78))</f>
        <v/>
      </c>
      <c r="K78" s="16" t="str">
        <f>IF(D78="","",SUMIFS('Data entry'!$J$3:$J$1000,'Data entry'!$E$3:$E$1000,"Purchase",'Data entry'!$G$3:$G$1000,D78))</f>
        <v/>
      </c>
      <c r="L78" s="16" t="str">
        <f t="shared" si="6"/>
        <v/>
      </c>
      <c r="M78" s="15"/>
      <c r="N78" s="16" t="str">
        <f t="shared" si="7"/>
        <v/>
      </c>
      <c r="O78" s="44"/>
      <c r="P78" s="45"/>
      <c r="Q78" s="46" t="str">
        <f>IF(O78="","",SUMIFS('Data entry'!$K$3:$K$1000,'Data entry'!$E$3:$E$1000,"Supply",'Data entry'!$G$3:$G$1000,O78))</f>
        <v/>
      </c>
      <c r="R78" s="46" t="str">
        <f t="shared" si="8"/>
        <v/>
      </c>
      <c r="S78" s="43"/>
      <c r="T78" s="47" t="str">
        <f>IF(O78="","",SUMIFS('Data entry'!$J$3:$J$1000,'Data entry'!$E$3:$E$1000,"Supply",'Data entry'!$F$3:$F$1000,O78))</f>
        <v/>
      </c>
      <c r="U78" s="48"/>
      <c r="V78" s="48" t="str">
        <f t="shared" si="10"/>
        <v/>
      </c>
      <c r="W78" s="43" t="str">
        <f t="shared" si="9"/>
        <v/>
      </c>
    </row>
    <row r="79" spans="2:23" ht="15" thickBot="1" x14ac:dyDescent="0.35">
      <c r="B79" s="36"/>
      <c r="C79" s="15"/>
      <c r="D79" s="15"/>
      <c r="E79" s="42"/>
      <c r="F79" s="15"/>
      <c r="G79" s="17" t="str">
        <f>IF(D79="","",SUMIFS('Data entry'!$K$3:$K$1000,'Data entry'!$E$3:$E$1000,"Purchase",'Data entry'!$G$3:$G$1000,D79))</f>
        <v/>
      </c>
      <c r="H79" s="17" t="str">
        <f>IF(D79="","",SUMIFS('Data entry'!$K$3:$K$1000,'Data entry'!$E$3:$E$1000,"Sale",'Data entry'!$G$3:$G$1000,D79))</f>
        <v/>
      </c>
      <c r="I79" s="17" t="str">
        <f>IF(D79="","",SUMIFS('Data entry'!$K$3:$K$1000,'Data entry'!$E$3:$E$1000,"Sale",'Data entry'!$G$3:$G$1000,D79)-SUMIFS('Data entry'!$K$3:$K$1000,'Data entry'!$E$3:$E$1000,"Purchase",'Data entry'!$G$3:$G$1000,D79))</f>
        <v/>
      </c>
      <c r="J79" s="16" t="str">
        <f>IF(D79="","",SUMIFS('Data entry'!$J$3:$J$1000,'Data entry'!$E$3:$E$1000,"Sale",'Data entry'!$G$3:$G$1000,D79))</f>
        <v/>
      </c>
      <c r="K79" s="16" t="str">
        <f>IF(D79="","",SUMIFS('Data entry'!$J$3:$J$1000,'Data entry'!$E$3:$E$1000,"Purchase",'Data entry'!$G$3:$G$1000,D79))</f>
        <v/>
      </c>
      <c r="L79" s="16" t="str">
        <f t="shared" si="6"/>
        <v/>
      </c>
      <c r="M79" s="15"/>
      <c r="N79" s="16" t="str">
        <f t="shared" si="7"/>
        <v/>
      </c>
      <c r="O79" s="44"/>
      <c r="P79" s="45"/>
      <c r="Q79" s="46" t="str">
        <f>IF(O79="","",SUMIFS('Data entry'!$K$3:$K$1000,'Data entry'!$E$3:$E$1000,"Supply",'Data entry'!$G$3:$G$1000,O79))</f>
        <v/>
      </c>
      <c r="R79" s="46" t="str">
        <f t="shared" si="8"/>
        <v/>
      </c>
      <c r="S79" s="43"/>
      <c r="T79" s="47" t="str">
        <f>IF(O79="","",SUMIFS('Data entry'!$J$3:$J$1000,'Data entry'!$E$3:$E$1000,"Supply",'Data entry'!$F$3:$F$1000,O79))</f>
        <v/>
      </c>
      <c r="U79" s="48"/>
      <c r="V79" s="48" t="str">
        <f t="shared" si="10"/>
        <v/>
      </c>
      <c r="W79" s="43" t="str">
        <f t="shared" si="9"/>
        <v/>
      </c>
    </row>
    <row r="80" spans="2:23" ht="15" thickBot="1" x14ac:dyDescent="0.35">
      <c r="B80" s="36"/>
      <c r="C80" s="15"/>
      <c r="D80" s="15"/>
      <c r="E80" s="42"/>
      <c r="F80" s="15"/>
      <c r="G80" s="17" t="str">
        <f>IF(D80="","",SUMIFS('Data entry'!$K$3:$K$1000,'Data entry'!$E$3:$E$1000,"Purchase",'Data entry'!$G$3:$G$1000,D80))</f>
        <v/>
      </c>
      <c r="H80" s="17" t="str">
        <f>IF(D80="","",SUMIFS('Data entry'!$K$3:$K$1000,'Data entry'!$E$3:$E$1000,"Sale",'Data entry'!$G$3:$G$1000,D80))</f>
        <v/>
      </c>
      <c r="I80" s="17" t="str">
        <f>IF(D80="","",SUMIFS('Data entry'!$K$3:$K$1000,'Data entry'!$E$3:$E$1000,"Sale",'Data entry'!$G$3:$G$1000,D80)-SUMIFS('Data entry'!$K$3:$K$1000,'Data entry'!$E$3:$E$1000,"Purchase",'Data entry'!$G$3:$G$1000,D80))</f>
        <v/>
      </c>
      <c r="J80" s="16" t="str">
        <f>IF(D80="","",SUMIFS('Data entry'!$J$3:$J$1000,'Data entry'!$E$3:$E$1000,"Sale",'Data entry'!$G$3:$G$1000,D80))</f>
        <v/>
      </c>
      <c r="K80" s="16" t="str">
        <f>IF(D80="","",SUMIFS('Data entry'!$J$3:$J$1000,'Data entry'!$E$3:$E$1000,"Purchase",'Data entry'!$G$3:$G$1000,D80))</f>
        <v/>
      </c>
      <c r="L80" s="16" t="str">
        <f t="shared" si="6"/>
        <v/>
      </c>
      <c r="M80" s="15"/>
      <c r="N80" s="16" t="str">
        <f t="shared" si="7"/>
        <v/>
      </c>
      <c r="O80" s="44"/>
      <c r="P80" s="45"/>
      <c r="Q80" s="46" t="str">
        <f>IF(O80="","",SUMIFS('Data entry'!$K$3:$K$1000,'Data entry'!$E$3:$E$1000,"Supply",'Data entry'!$G$3:$G$1000,O80))</f>
        <v/>
      </c>
      <c r="R80" s="46" t="str">
        <f t="shared" si="8"/>
        <v/>
      </c>
      <c r="S80" s="43"/>
      <c r="T80" s="47" t="str">
        <f>IF(O80="","",SUMIFS('Data entry'!$J$3:$J$1000,'Data entry'!$E$3:$E$1000,"Supply",'Data entry'!$F$3:$F$1000,O80))</f>
        <v/>
      </c>
      <c r="U80" s="48"/>
      <c r="V80" s="48" t="str">
        <f t="shared" si="10"/>
        <v/>
      </c>
      <c r="W80" s="43" t="str">
        <f t="shared" si="9"/>
        <v/>
      </c>
    </row>
    <row r="81" spans="2:23" ht="15" thickBot="1" x14ac:dyDescent="0.35">
      <c r="B81" s="36"/>
      <c r="C81" s="15"/>
      <c r="D81" s="15"/>
      <c r="E81" s="42"/>
      <c r="F81" s="15"/>
      <c r="G81" s="17" t="str">
        <f>IF(D81="","",SUMIFS('Data entry'!$K$3:$K$1000,'Data entry'!$E$3:$E$1000,"Purchase",'Data entry'!$G$3:$G$1000,D81))</f>
        <v/>
      </c>
      <c r="H81" s="17" t="str">
        <f>IF(D81="","",SUMIFS('Data entry'!$K$3:$K$1000,'Data entry'!$E$3:$E$1000,"Sale",'Data entry'!$G$3:$G$1000,D81))</f>
        <v/>
      </c>
      <c r="I81" s="17" t="str">
        <f>IF(D81="","",SUMIFS('Data entry'!$K$3:$K$1000,'Data entry'!$E$3:$E$1000,"Sale",'Data entry'!$G$3:$G$1000,D81)-SUMIFS('Data entry'!$K$3:$K$1000,'Data entry'!$E$3:$E$1000,"Purchase",'Data entry'!$G$3:$G$1000,D81))</f>
        <v/>
      </c>
      <c r="J81" s="16" t="str">
        <f>IF(D81="","",SUMIFS('Data entry'!$J$3:$J$1000,'Data entry'!$E$3:$E$1000,"Sale",'Data entry'!$G$3:$G$1000,D81))</f>
        <v/>
      </c>
      <c r="K81" s="16" t="str">
        <f>IF(D81="","",SUMIFS('Data entry'!$J$3:$J$1000,'Data entry'!$E$3:$E$1000,"Purchase",'Data entry'!$G$3:$G$1000,D81))</f>
        <v/>
      </c>
      <c r="L81" s="16" t="str">
        <f t="shared" si="6"/>
        <v/>
      </c>
      <c r="M81" s="15"/>
      <c r="N81" s="16" t="str">
        <f t="shared" si="7"/>
        <v/>
      </c>
      <c r="O81" s="44"/>
      <c r="P81" s="45"/>
      <c r="Q81" s="46" t="str">
        <f>IF(O81="","",SUMIFS('Data entry'!$K$3:$K$1000,'Data entry'!$E$3:$E$1000,"Supply",'Data entry'!$G$3:$G$1000,O81))</f>
        <v/>
      </c>
      <c r="R81" s="46" t="str">
        <f t="shared" si="8"/>
        <v/>
      </c>
      <c r="S81" s="43"/>
      <c r="T81" s="47" t="str">
        <f>IF(O81="","",SUMIFS('Data entry'!$J$3:$J$1000,'Data entry'!$E$3:$E$1000,"Supply",'Data entry'!$F$3:$F$1000,O81))</f>
        <v/>
      </c>
      <c r="U81" s="48"/>
      <c r="V81" s="48" t="str">
        <f t="shared" si="10"/>
        <v/>
      </c>
      <c r="W81" s="43" t="str">
        <f t="shared" si="9"/>
        <v/>
      </c>
    </row>
    <row r="82" spans="2:23" ht="15" thickBot="1" x14ac:dyDescent="0.35">
      <c r="B82" s="36"/>
      <c r="C82" s="15"/>
      <c r="D82" s="15"/>
      <c r="E82" s="42"/>
      <c r="F82" s="15"/>
      <c r="G82" s="17" t="str">
        <f>IF(D82="","",SUMIFS('Data entry'!$K$3:$K$1000,'Data entry'!$E$3:$E$1000,"Purchase",'Data entry'!$G$3:$G$1000,D82))</f>
        <v/>
      </c>
      <c r="H82" s="17" t="str">
        <f>IF(D82="","",SUMIFS('Data entry'!$K$3:$K$1000,'Data entry'!$E$3:$E$1000,"Sale",'Data entry'!$G$3:$G$1000,D82))</f>
        <v/>
      </c>
      <c r="I82" s="17" t="str">
        <f>IF(D82="","",SUMIFS('Data entry'!$K$3:$K$1000,'Data entry'!$E$3:$E$1000,"Sale",'Data entry'!$G$3:$G$1000,D82)-SUMIFS('Data entry'!$K$3:$K$1000,'Data entry'!$E$3:$E$1000,"Purchase",'Data entry'!$G$3:$G$1000,D82))</f>
        <v/>
      </c>
      <c r="J82" s="16" t="str">
        <f>IF(D82="","",SUMIFS('Data entry'!$J$3:$J$1000,'Data entry'!$E$3:$E$1000,"Sale",'Data entry'!$G$3:$G$1000,D82))</f>
        <v/>
      </c>
      <c r="K82" s="16" t="str">
        <f>IF(D82="","",SUMIFS('Data entry'!$J$3:$J$1000,'Data entry'!$E$3:$E$1000,"Purchase",'Data entry'!$G$3:$G$1000,D82))</f>
        <v/>
      </c>
      <c r="L82" s="16" t="str">
        <f t="shared" si="6"/>
        <v/>
      </c>
      <c r="M82" s="15"/>
      <c r="N82" s="16" t="str">
        <f t="shared" si="7"/>
        <v/>
      </c>
      <c r="O82" s="44"/>
      <c r="P82" s="45"/>
      <c r="Q82" s="46" t="str">
        <f>IF(O82="","",SUMIFS('Data entry'!$K$3:$K$1000,'Data entry'!$E$3:$E$1000,"Supply",'Data entry'!$G$3:$G$1000,O82))</f>
        <v/>
      </c>
      <c r="R82" s="46" t="str">
        <f t="shared" si="8"/>
        <v/>
      </c>
      <c r="S82" s="43"/>
      <c r="T82" s="47" t="str">
        <f>IF(O82="","",SUMIFS('Data entry'!$J$3:$J$1000,'Data entry'!$E$3:$E$1000,"Supply",'Data entry'!$F$3:$F$1000,O82))</f>
        <v/>
      </c>
      <c r="U82" s="48"/>
      <c r="V82" s="48" t="str">
        <f t="shared" si="10"/>
        <v/>
      </c>
      <c r="W82" s="43" t="str">
        <f t="shared" si="9"/>
        <v/>
      </c>
    </row>
    <row r="83" spans="2:23" ht="15" thickBot="1" x14ac:dyDescent="0.35">
      <c r="B83" s="36"/>
      <c r="C83" s="15"/>
      <c r="D83" s="15"/>
      <c r="E83" s="42"/>
      <c r="F83" s="15"/>
      <c r="G83" s="17" t="str">
        <f>IF(D83="","",SUMIFS('Data entry'!$K$3:$K$1000,'Data entry'!$E$3:$E$1000,"Purchase",'Data entry'!$G$3:$G$1000,D83))</f>
        <v/>
      </c>
      <c r="H83" s="17" t="str">
        <f>IF(D83="","",SUMIFS('Data entry'!$K$3:$K$1000,'Data entry'!$E$3:$E$1000,"Sale",'Data entry'!$G$3:$G$1000,D83))</f>
        <v/>
      </c>
      <c r="I83" s="17" t="str">
        <f>IF(D83="","",SUMIFS('Data entry'!$K$3:$K$1000,'Data entry'!$E$3:$E$1000,"Sale",'Data entry'!$G$3:$G$1000,D83)-SUMIFS('Data entry'!$K$3:$K$1000,'Data entry'!$E$3:$E$1000,"Purchase",'Data entry'!$G$3:$G$1000,D83))</f>
        <v/>
      </c>
      <c r="J83" s="16" t="str">
        <f>IF(D83="","",SUMIFS('Data entry'!$J$3:$J$1000,'Data entry'!$E$3:$E$1000,"Sale",'Data entry'!$G$3:$G$1000,D83))</f>
        <v/>
      </c>
      <c r="K83" s="16" t="str">
        <f>IF(D83="","",SUMIFS('Data entry'!$J$3:$J$1000,'Data entry'!$E$3:$E$1000,"Purchase",'Data entry'!$G$3:$G$1000,D83))</f>
        <v/>
      </c>
      <c r="L83" s="16" t="str">
        <f t="shared" si="6"/>
        <v/>
      </c>
      <c r="M83" s="15"/>
      <c r="N83" s="16" t="str">
        <f t="shared" si="7"/>
        <v/>
      </c>
      <c r="O83" s="44"/>
      <c r="P83" s="45"/>
      <c r="Q83" s="46" t="str">
        <f>IF(O83="","",SUMIFS('Data entry'!$K$3:$K$1000,'Data entry'!$E$3:$E$1000,"Supply",'Data entry'!$G$3:$G$1000,O83))</f>
        <v/>
      </c>
      <c r="R83" s="46" t="str">
        <f t="shared" si="8"/>
        <v/>
      </c>
      <c r="S83" s="43"/>
      <c r="T83" s="47" t="str">
        <f>IF(O83="","",SUMIFS('Data entry'!$J$3:$J$1000,'Data entry'!$E$3:$E$1000,"Supply",'Data entry'!$F$3:$F$1000,O83))</f>
        <v/>
      </c>
      <c r="U83" s="48"/>
      <c r="V83" s="48" t="str">
        <f t="shared" si="10"/>
        <v/>
      </c>
      <c r="W83" s="43" t="str">
        <f t="shared" si="9"/>
        <v/>
      </c>
    </row>
    <row r="84" spans="2:23" ht="15" thickBot="1" x14ac:dyDescent="0.35">
      <c r="B84" s="36"/>
      <c r="C84" s="15"/>
      <c r="D84" s="15"/>
      <c r="E84" s="42"/>
      <c r="F84" s="15"/>
      <c r="G84" s="17" t="str">
        <f>IF(D84="","",SUMIFS('Data entry'!$K$3:$K$1000,'Data entry'!$E$3:$E$1000,"Purchase",'Data entry'!$G$3:$G$1000,D84))</f>
        <v/>
      </c>
      <c r="H84" s="17" t="str">
        <f>IF(D84="","",SUMIFS('Data entry'!$K$3:$K$1000,'Data entry'!$E$3:$E$1000,"Sale",'Data entry'!$G$3:$G$1000,D84))</f>
        <v/>
      </c>
      <c r="I84" s="17" t="str">
        <f>IF(D84="","",SUMIFS('Data entry'!$K$3:$K$1000,'Data entry'!$E$3:$E$1000,"Sale",'Data entry'!$G$3:$G$1000,D84)-SUMIFS('Data entry'!$K$3:$K$1000,'Data entry'!$E$3:$E$1000,"Purchase",'Data entry'!$G$3:$G$1000,D84))</f>
        <v/>
      </c>
      <c r="J84" s="16" t="str">
        <f>IF(D84="","",SUMIFS('Data entry'!$J$3:$J$1000,'Data entry'!$E$3:$E$1000,"Sale",'Data entry'!$G$3:$G$1000,D84))</f>
        <v/>
      </c>
      <c r="K84" s="16" t="str">
        <f>IF(D84="","",SUMIFS('Data entry'!$J$3:$J$1000,'Data entry'!$E$3:$E$1000,"Purchase",'Data entry'!$G$3:$G$1000,D84))</f>
        <v/>
      </c>
      <c r="L84" s="16" t="str">
        <f t="shared" si="6"/>
        <v/>
      </c>
      <c r="M84" s="15"/>
      <c r="N84" s="16" t="str">
        <f t="shared" si="7"/>
        <v/>
      </c>
      <c r="O84" s="44"/>
      <c r="P84" s="45"/>
      <c r="Q84" s="46" t="str">
        <f>IF(O84="","",SUMIFS('Data entry'!$K$3:$K$1000,'Data entry'!$E$3:$E$1000,"Supply",'Data entry'!$G$3:$G$1000,O84))</f>
        <v/>
      </c>
      <c r="R84" s="46" t="str">
        <f t="shared" si="8"/>
        <v/>
      </c>
      <c r="S84" s="43"/>
      <c r="T84" s="47" t="str">
        <f>IF(O84="","",SUMIFS('Data entry'!$J$3:$J$1000,'Data entry'!$E$3:$E$1000,"Supply",'Data entry'!$F$3:$F$1000,O84))</f>
        <v/>
      </c>
      <c r="U84" s="48"/>
      <c r="V84" s="48" t="str">
        <f t="shared" si="10"/>
        <v/>
      </c>
      <c r="W84" s="43" t="str">
        <f t="shared" si="9"/>
        <v/>
      </c>
    </row>
    <row r="85" spans="2:23" ht="15" thickBot="1" x14ac:dyDescent="0.35">
      <c r="B85" s="36"/>
      <c r="C85" s="15"/>
      <c r="D85" s="15"/>
      <c r="E85" s="42"/>
      <c r="F85" s="15"/>
      <c r="G85" s="17" t="str">
        <f>IF(D85="","",SUMIFS('Data entry'!$K$3:$K$1000,'Data entry'!$E$3:$E$1000,"Purchase",'Data entry'!$G$3:$G$1000,D85))</f>
        <v/>
      </c>
      <c r="H85" s="17" t="str">
        <f>IF(D85="","",SUMIFS('Data entry'!$K$3:$K$1000,'Data entry'!$E$3:$E$1000,"Sale",'Data entry'!$G$3:$G$1000,D85))</f>
        <v/>
      </c>
      <c r="I85" s="17" t="str">
        <f>IF(D85="","",SUMIFS('Data entry'!$K$3:$K$1000,'Data entry'!$E$3:$E$1000,"Sale",'Data entry'!$G$3:$G$1000,D85)-SUMIFS('Data entry'!$K$3:$K$1000,'Data entry'!$E$3:$E$1000,"Purchase",'Data entry'!$G$3:$G$1000,D85))</f>
        <v/>
      </c>
      <c r="J85" s="16" t="str">
        <f>IF(D85="","",SUMIFS('Data entry'!$J$3:$J$1000,'Data entry'!$E$3:$E$1000,"Sale",'Data entry'!$G$3:$G$1000,D85))</f>
        <v/>
      </c>
      <c r="K85" s="16" t="str">
        <f>IF(D85="","",SUMIFS('Data entry'!$J$3:$J$1000,'Data entry'!$E$3:$E$1000,"Purchase",'Data entry'!$G$3:$G$1000,D85))</f>
        <v/>
      </c>
      <c r="L85" s="16" t="str">
        <f t="shared" si="6"/>
        <v/>
      </c>
      <c r="M85" s="15"/>
      <c r="N85" s="16" t="str">
        <f t="shared" si="7"/>
        <v/>
      </c>
      <c r="O85" s="44"/>
      <c r="P85" s="45"/>
      <c r="Q85" s="46" t="str">
        <f>IF(O85="","",SUMIFS('Data entry'!$K$3:$K$1000,'Data entry'!$E$3:$E$1000,"Supply",'Data entry'!$G$3:$G$1000,O85))</f>
        <v/>
      </c>
      <c r="R85" s="46" t="str">
        <f t="shared" si="8"/>
        <v/>
      </c>
      <c r="S85" s="43"/>
      <c r="T85" s="47" t="str">
        <f>IF(O85="","",SUMIFS('Data entry'!$J$3:$J$1000,'Data entry'!$E$3:$E$1000,"Supply",'Data entry'!$F$3:$F$1000,O85))</f>
        <v/>
      </c>
      <c r="U85" s="48"/>
      <c r="V85" s="48" t="str">
        <f t="shared" si="10"/>
        <v/>
      </c>
      <c r="W85" s="43" t="str">
        <f t="shared" si="9"/>
        <v/>
      </c>
    </row>
    <row r="86" spans="2:23" ht="15" thickBot="1" x14ac:dyDescent="0.35">
      <c r="B86" s="36"/>
      <c r="C86" s="15"/>
      <c r="D86" s="15"/>
      <c r="E86" s="42"/>
      <c r="F86" s="15"/>
      <c r="G86" s="17" t="str">
        <f>IF(D86="","",SUMIFS('Data entry'!$K$3:$K$1000,'Data entry'!$E$3:$E$1000,"Purchase",'Data entry'!$G$3:$G$1000,D86))</f>
        <v/>
      </c>
      <c r="H86" s="17" t="str">
        <f>IF(D86="","",SUMIFS('Data entry'!$K$3:$K$1000,'Data entry'!$E$3:$E$1000,"Sale",'Data entry'!$G$3:$G$1000,D86))</f>
        <v/>
      </c>
      <c r="I86" s="17" t="str">
        <f>IF(D86="","",SUMIFS('Data entry'!$K$3:$K$1000,'Data entry'!$E$3:$E$1000,"Sale",'Data entry'!$G$3:$G$1000,D86)-SUMIFS('Data entry'!$K$3:$K$1000,'Data entry'!$E$3:$E$1000,"Purchase",'Data entry'!$G$3:$G$1000,D86))</f>
        <v/>
      </c>
      <c r="J86" s="16" t="str">
        <f>IF(D86="","",SUMIFS('Data entry'!$J$3:$J$1000,'Data entry'!$E$3:$E$1000,"Sale",'Data entry'!$G$3:$G$1000,D86))</f>
        <v/>
      </c>
      <c r="K86" s="16" t="str">
        <f>IF(D86="","",SUMIFS('Data entry'!$J$3:$J$1000,'Data entry'!$E$3:$E$1000,"Purchase",'Data entry'!$G$3:$G$1000,D86))</f>
        <v/>
      </c>
      <c r="L86" s="16" t="str">
        <f t="shared" si="6"/>
        <v/>
      </c>
      <c r="M86" s="15"/>
      <c r="N86" s="16" t="str">
        <f t="shared" si="7"/>
        <v/>
      </c>
      <c r="O86" s="44"/>
      <c r="P86" s="45"/>
      <c r="Q86" s="46" t="str">
        <f>IF(O86="","",SUMIFS('Data entry'!$K$3:$K$1000,'Data entry'!$E$3:$E$1000,"Supply",'Data entry'!$G$3:$G$1000,O86))</f>
        <v/>
      </c>
      <c r="R86" s="46" t="str">
        <f t="shared" si="8"/>
        <v/>
      </c>
      <c r="S86" s="43"/>
      <c r="T86" s="47" t="str">
        <f>IF(O86="","",SUMIFS('Data entry'!$J$3:$J$1000,'Data entry'!$E$3:$E$1000,"Supply",'Data entry'!$F$3:$F$1000,O86))</f>
        <v/>
      </c>
      <c r="U86" s="48"/>
      <c r="V86" s="48" t="str">
        <f t="shared" si="10"/>
        <v/>
      </c>
      <c r="W86" s="43" t="str">
        <f t="shared" si="9"/>
        <v/>
      </c>
    </row>
    <row r="87" spans="2:23" ht="15" thickBot="1" x14ac:dyDescent="0.35">
      <c r="B87" s="36"/>
      <c r="C87" s="15"/>
      <c r="D87" s="15"/>
      <c r="E87" s="42"/>
      <c r="F87" s="15"/>
      <c r="G87" s="17" t="str">
        <f>IF(D87="","",SUMIFS('Data entry'!$K$3:$K$1000,'Data entry'!$E$3:$E$1000,"Purchase",'Data entry'!$G$3:$G$1000,D87))</f>
        <v/>
      </c>
      <c r="H87" s="17" t="str">
        <f>IF(D87="","",SUMIFS('Data entry'!$K$3:$K$1000,'Data entry'!$E$3:$E$1000,"Sale",'Data entry'!$G$3:$G$1000,D87))</f>
        <v/>
      </c>
      <c r="I87" s="17" t="str">
        <f>IF(D87="","",SUMIFS('Data entry'!$K$3:$K$1000,'Data entry'!$E$3:$E$1000,"Sale",'Data entry'!$G$3:$G$1000,D87)-SUMIFS('Data entry'!$K$3:$K$1000,'Data entry'!$E$3:$E$1000,"Purchase",'Data entry'!$G$3:$G$1000,D87))</f>
        <v/>
      </c>
      <c r="J87" s="16" t="str">
        <f>IF(D87="","",SUMIFS('Data entry'!$J$3:$J$1000,'Data entry'!$E$3:$E$1000,"Sale",'Data entry'!$G$3:$G$1000,D87))</f>
        <v/>
      </c>
      <c r="K87" s="16" t="str">
        <f>IF(D87="","",SUMIFS('Data entry'!$J$3:$J$1000,'Data entry'!$E$3:$E$1000,"Purchase",'Data entry'!$G$3:$G$1000,D87))</f>
        <v/>
      </c>
      <c r="L87" s="16" t="str">
        <f t="shared" si="6"/>
        <v/>
      </c>
      <c r="M87" s="15"/>
      <c r="N87" s="16" t="str">
        <f t="shared" si="7"/>
        <v/>
      </c>
      <c r="O87" s="44"/>
      <c r="P87" s="45"/>
      <c r="Q87" s="46" t="str">
        <f>IF(O87="","",SUMIFS('Data entry'!$K$3:$K$1000,'Data entry'!$E$3:$E$1000,"Supply",'Data entry'!$G$3:$G$1000,O87))</f>
        <v/>
      </c>
      <c r="R87" s="46" t="str">
        <f t="shared" si="8"/>
        <v/>
      </c>
      <c r="S87" s="43"/>
      <c r="T87" s="47" t="str">
        <f>IF(O87="","",SUMIFS('Data entry'!$J$3:$J$1000,'Data entry'!$E$3:$E$1000,"Supply",'Data entry'!$F$3:$F$1000,O87))</f>
        <v/>
      </c>
      <c r="U87" s="48"/>
      <c r="V87" s="48" t="str">
        <f t="shared" si="10"/>
        <v/>
      </c>
      <c r="W87" s="43" t="str">
        <f t="shared" si="9"/>
        <v/>
      </c>
    </row>
    <row r="88" spans="2:23" ht="15" thickBot="1" x14ac:dyDescent="0.35">
      <c r="B88" s="36"/>
      <c r="C88" s="15"/>
      <c r="D88" s="15"/>
      <c r="E88" s="42"/>
      <c r="F88" s="15"/>
      <c r="G88" s="17" t="str">
        <f>IF(D88="","",SUMIFS('Data entry'!$K$3:$K$1000,'Data entry'!$E$3:$E$1000,"Purchase",'Data entry'!$G$3:$G$1000,D88))</f>
        <v/>
      </c>
      <c r="H88" s="17" t="str">
        <f>IF(D88="","",SUMIFS('Data entry'!$K$3:$K$1000,'Data entry'!$E$3:$E$1000,"Sale",'Data entry'!$G$3:$G$1000,D88))</f>
        <v/>
      </c>
      <c r="I88" s="17" t="str">
        <f>IF(D88="","",SUMIFS('Data entry'!$K$3:$K$1000,'Data entry'!$E$3:$E$1000,"Sale",'Data entry'!$G$3:$G$1000,D88)-SUMIFS('Data entry'!$K$3:$K$1000,'Data entry'!$E$3:$E$1000,"Purchase",'Data entry'!$G$3:$G$1000,D88))</f>
        <v/>
      </c>
      <c r="J88" s="16" t="str">
        <f>IF(D88="","",SUMIFS('Data entry'!$J$3:$J$1000,'Data entry'!$E$3:$E$1000,"Sale",'Data entry'!$G$3:$G$1000,D88))</f>
        <v/>
      </c>
      <c r="K88" s="16" t="str">
        <f>IF(D88="","",SUMIFS('Data entry'!$J$3:$J$1000,'Data entry'!$E$3:$E$1000,"Purchase",'Data entry'!$G$3:$G$1000,D88))</f>
        <v/>
      </c>
      <c r="L88" s="16" t="str">
        <f t="shared" si="6"/>
        <v/>
      </c>
      <c r="M88" s="15"/>
      <c r="N88" s="16" t="str">
        <f t="shared" si="7"/>
        <v/>
      </c>
      <c r="O88" s="44"/>
      <c r="P88" s="45"/>
      <c r="Q88" s="46" t="str">
        <f>IF(O88="","",SUMIFS('Data entry'!$K$3:$K$1000,'Data entry'!$E$3:$E$1000,"Supply",'Data entry'!$G$3:$G$1000,O88))</f>
        <v/>
      </c>
      <c r="R88" s="46" t="str">
        <f t="shared" si="8"/>
        <v/>
      </c>
      <c r="S88" s="43"/>
      <c r="T88" s="47" t="str">
        <f>IF(O88="","",SUMIFS('Data entry'!$J$3:$J$1000,'Data entry'!$E$3:$E$1000,"Supply",'Data entry'!$F$3:$F$1000,O88))</f>
        <v/>
      </c>
      <c r="U88" s="48"/>
      <c r="V88" s="48" t="str">
        <f t="shared" si="10"/>
        <v/>
      </c>
      <c r="W88" s="43" t="str">
        <f t="shared" si="9"/>
        <v/>
      </c>
    </row>
    <row r="89" spans="2:23" ht="15" thickBot="1" x14ac:dyDescent="0.35">
      <c r="B89" s="36"/>
      <c r="C89" s="15"/>
      <c r="D89" s="15"/>
      <c r="E89" s="42"/>
      <c r="F89" s="15"/>
      <c r="G89" s="17" t="str">
        <f>IF(D89="","",SUMIFS('Data entry'!$K$3:$K$1000,'Data entry'!$E$3:$E$1000,"Purchase",'Data entry'!$G$3:$G$1000,D89))</f>
        <v/>
      </c>
      <c r="H89" s="17" t="str">
        <f>IF(D89="","",SUMIFS('Data entry'!$K$3:$K$1000,'Data entry'!$E$3:$E$1000,"Sale",'Data entry'!$G$3:$G$1000,D89))</f>
        <v/>
      </c>
      <c r="I89" s="17" t="str">
        <f>IF(D89="","",SUMIFS('Data entry'!$K$3:$K$1000,'Data entry'!$E$3:$E$1000,"Sale",'Data entry'!$G$3:$G$1000,D89)-SUMIFS('Data entry'!$K$3:$K$1000,'Data entry'!$E$3:$E$1000,"Purchase",'Data entry'!$G$3:$G$1000,D89))</f>
        <v/>
      </c>
      <c r="J89" s="16" t="str">
        <f>IF(D89="","",SUMIFS('Data entry'!$J$3:$J$1000,'Data entry'!$E$3:$E$1000,"Sale",'Data entry'!$G$3:$G$1000,D89))</f>
        <v/>
      </c>
      <c r="K89" s="16" t="str">
        <f>IF(D89="","",SUMIFS('Data entry'!$J$3:$J$1000,'Data entry'!$E$3:$E$1000,"Purchase",'Data entry'!$G$3:$G$1000,D89))</f>
        <v/>
      </c>
      <c r="L89" s="16" t="str">
        <f t="shared" si="6"/>
        <v/>
      </c>
      <c r="M89" s="15"/>
      <c r="N89" s="16" t="str">
        <f t="shared" si="7"/>
        <v/>
      </c>
      <c r="O89" s="44"/>
      <c r="P89" s="45"/>
      <c r="Q89" s="46" t="str">
        <f>IF(O89="","",SUMIFS('Data entry'!$K$3:$K$1000,'Data entry'!$E$3:$E$1000,"Supply",'Data entry'!$G$3:$G$1000,O89))</f>
        <v/>
      </c>
      <c r="R89" s="46" t="str">
        <f t="shared" si="8"/>
        <v/>
      </c>
      <c r="S89" s="43"/>
      <c r="T89" s="47" t="str">
        <f>IF(O89="","",SUMIFS('Data entry'!$J$3:$J$1000,'Data entry'!$E$3:$E$1000,"Supply",'Data entry'!$F$3:$F$1000,O89))</f>
        <v/>
      </c>
      <c r="U89" s="48"/>
      <c r="V89" s="48" t="str">
        <f t="shared" si="10"/>
        <v/>
      </c>
      <c r="W89" s="43" t="str">
        <f t="shared" si="9"/>
        <v/>
      </c>
    </row>
    <row r="90" spans="2:23" ht="15" thickBot="1" x14ac:dyDescent="0.35">
      <c r="B90" s="36"/>
      <c r="C90" s="15"/>
      <c r="D90" s="15"/>
      <c r="E90" s="42"/>
      <c r="F90" s="15"/>
      <c r="G90" s="17" t="str">
        <f>IF(D90="","",SUMIFS('Data entry'!$K$3:$K$1000,'Data entry'!$E$3:$E$1000,"Purchase",'Data entry'!$G$3:$G$1000,D90))</f>
        <v/>
      </c>
      <c r="H90" s="17" t="str">
        <f>IF(D90="","",SUMIFS('Data entry'!$K$3:$K$1000,'Data entry'!$E$3:$E$1000,"Sale",'Data entry'!$G$3:$G$1000,D90))</f>
        <v/>
      </c>
      <c r="I90" s="17" t="str">
        <f>IF(D90="","",SUMIFS('Data entry'!$K$3:$K$1000,'Data entry'!$E$3:$E$1000,"Sale",'Data entry'!$G$3:$G$1000,D90)-SUMIFS('Data entry'!$K$3:$K$1000,'Data entry'!$E$3:$E$1000,"Purchase",'Data entry'!$G$3:$G$1000,D90))</f>
        <v/>
      </c>
      <c r="J90" s="16" t="str">
        <f>IF(D90="","",SUMIFS('Data entry'!$J$3:$J$1000,'Data entry'!$E$3:$E$1000,"Sale",'Data entry'!$G$3:$G$1000,D90))</f>
        <v/>
      </c>
      <c r="K90" s="16" t="str">
        <f>IF(D90="","",SUMIFS('Data entry'!$J$3:$J$1000,'Data entry'!$E$3:$E$1000,"Purchase",'Data entry'!$G$3:$G$1000,D90))</f>
        <v/>
      </c>
      <c r="L90" s="16" t="str">
        <f t="shared" si="6"/>
        <v/>
      </c>
      <c r="M90" s="15"/>
      <c r="N90" s="16" t="str">
        <f t="shared" si="7"/>
        <v/>
      </c>
      <c r="O90" s="44"/>
      <c r="P90" s="45"/>
      <c r="Q90" s="46" t="str">
        <f>IF(O90="","",SUMIFS('Data entry'!$K$3:$K$1000,'Data entry'!$E$3:$E$1000,"Supply",'Data entry'!$G$3:$G$1000,O90))</f>
        <v/>
      </c>
      <c r="R90" s="46" t="str">
        <f t="shared" si="8"/>
        <v/>
      </c>
      <c r="S90" s="43"/>
      <c r="T90" s="47" t="str">
        <f>IF(O90="","",SUMIFS('Data entry'!$J$3:$J$1000,'Data entry'!$E$3:$E$1000,"Supply",'Data entry'!$F$3:$F$1000,O90))</f>
        <v/>
      </c>
      <c r="U90" s="48"/>
      <c r="V90" s="48" t="str">
        <f t="shared" si="10"/>
        <v/>
      </c>
      <c r="W90" s="43" t="str">
        <f t="shared" si="9"/>
        <v/>
      </c>
    </row>
    <row r="91" spans="2:23" ht="15" thickBot="1" x14ac:dyDescent="0.35">
      <c r="B91" s="36"/>
      <c r="C91" s="15"/>
      <c r="D91" s="15"/>
      <c r="E91" s="42"/>
      <c r="F91" s="15"/>
      <c r="G91" s="17" t="str">
        <f>IF(D91="","",SUMIFS('Data entry'!$K$3:$K$1000,'Data entry'!$E$3:$E$1000,"Purchase",'Data entry'!$G$3:$G$1000,D91))</f>
        <v/>
      </c>
      <c r="H91" s="17" t="str">
        <f>IF(D91="","",SUMIFS('Data entry'!$K$3:$K$1000,'Data entry'!$E$3:$E$1000,"Sale",'Data entry'!$G$3:$G$1000,D91))</f>
        <v/>
      </c>
      <c r="I91" s="17" t="str">
        <f>IF(D91="","",SUMIFS('Data entry'!$K$3:$K$1000,'Data entry'!$E$3:$E$1000,"Sale",'Data entry'!$G$3:$G$1000,D91)-SUMIFS('Data entry'!$K$3:$K$1000,'Data entry'!$E$3:$E$1000,"Purchase",'Data entry'!$G$3:$G$1000,D91))</f>
        <v/>
      </c>
      <c r="J91" s="16" t="str">
        <f>IF(D91="","",SUMIFS('Data entry'!$J$3:$J$1000,'Data entry'!$E$3:$E$1000,"Sale",'Data entry'!$G$3:$G$1000,D91))</f>
        <v/>
      </c>
      <c r="K91" s="16" t="str">
        <f>IF(D91="","",SUMIFS('Data entry'!$J$3:$J$1000,'Data entry'!$E$3:$E$1000,"Purchase",'Data entry'!$G$3:$G$1000,D91))</f>
        <v/>
      </c>
      <c r="L91" s="16" t="str">
        <f t="shared" si="6"/>
        <v/>
      </c>
      <c r="M91" s="15"/>
      <c r="N91" s="16" t="str">
        <f t="shared" si="7"/>
        <v/>
      </c>
      <c r="O91" s="44"/>
      <c r="P91" s="45"/>
      <c r="Q91" s="46" t="str">
        <f>IF(O91="","",SUMIFS('Data entry'!$K$3:$K$1000,'Data entry'!$E$3:$E$1000,"Supply",'Data entry'!$G$3:$G$1000,O91))</f>
        <v/>
      </c>
      <c r="R91" s="46" t="str">
        <f t="shared" si="8"/>
        <v/>
      </c>
      <c r="S91" s="43"/>
      <c r="T91" s="47" t="str">
        <f>IF(O91="","",SUMIFS('Data entry'!$J$3:$J$1000,'Data entry'!$E$3:$E$1000,"Supply",'Data entry'!$F$3:$F$1000,O91))</f>
        <v/>
      </c>
      <c r="U91" s="48"/>
      <c r="V91" s="48" t="str">
        <f t="shared" si="10"/>
        <v/>
      </c>
      <c r="W91" s="43" t="str">
        <f t="shared" si="9"/>
        <v/>
      </c>
    </row>
    <row r="92" spans="2:23" ht="15" thickBot="1" x14ac:dyDescent="0.35">
      <c r="B92" s="36"/>
      <c r="C92" s="15"/>
      <c r="D92" s="15"/>
      <c r="E92" s="42"/>
      <c r="F92" s="15"/>
      <c r="G92" s="17" t="str">
        <f>IF(D92="","",SUMIFS('Data entry'!$K$3:$K$1000,'Data entry'!$E$3:$E$1000,"Purchase",'Data entry'!$G$3:$G$1000,D92))</f>
        <v/>
      </c>
      <c r="H92" s="17" t="str">
        <f>IF(D92="","",SUMIFS('Data entry'!$K$3:$K$1000,'Data entry'!$E$3:$E$1000,"Sale",'Data entry'!$G$3:$G$1000,D92))</f>
        <v/>
      </c>
      <c r="I92" s="17" t="str">
        <f>IF(D92="","",SUMIFS('Data entry'!$K$3:$K$1000,'Data entry'!$E$3:$E$1000,"Sale",'Data entry'!$G$3:$G$1000,D92)-SUMIFS('Data entry'!$K$3:$K$1000,'Data entry'!$E$3:$E$1000,"Purchase",'Data entry'!$G$3:$G$1000,D92))</f>
        <v/>
      </c>
      <c r="J92" s="16" t="str">
        <f>IF(D92="","",SUMIFS('Data entry'!$J$3:$J$1000,'Data entry'!$E$3:$E$1000,"Sale",'Data entry'!$G$3:$G$1000,D92))</f>
        <v/>
      </c>
      <c r="K92" s="16" t="str">
        <f>IF(D92="","",SUMIFS('Data entry'!$J$3:$J$1000,'Data entry'!$E$3:$E$1000,"Purchase",'Data entry'!$G$3:$G$1000,D92))</f>
        <v/>
      </c>
      <c r="L92" s="16" t="str">
        <f t="shared" si="6"/>
        <v/>
      </c>
      <c r="M92" s="15"/>
      <c r="N92" s="16" t="str">
        <f t="shared" si="7"/>
        <v/>
      </c>
      <c r="O92" s="44"/>
      <c r="P92" s="45"/>
      <c r="Q92" s="46" t="str">
        <f>IF(O92="","",SUMIFS('Data entry'!$K$3:$K$1000,'Data entry'!$E$3:$E$1000,"Supply",'Data entry'!$G$3:$G$1000,O92))</f>
        <v/>
      </c>
      <c r="R92" s="46" t="str">
        <f t="shared" si="8"/>
        <v/>
      </c>
      <c r="S92" s="43"/>
      <c r="T92" s="47" t="str">
        <f>IF(O92="","",SUMIFS('Data entry'!$J$3:$J$1000,'Data entry'!$E$3:$E$1000,"Supply",'Data entry'!$F$3:$F$1000,O92))</f>
        <v/>
      </c>
      <c r="U92" s="48"/>
      <c r="V92" s="48" t="str">
        <f t="shared" si="10"/>
        <v/>
      </c>
      <c r="W92" s="43" t="str">
        <f t="shared" si="9"/>
        <v/>
      </c>
    </row>
    <row r="93" spans="2:23" ht="15" thickBot="1" x14ac:dyDescent="0.35">
      <c r="B93" s="36"/>
      <c r="C93" s="15"/>
      <c r="D93" s="15"/>
      <c r="E93" s="42"/>
      <c r="F93" s="15"/>
      <c r="G93" s="17" t="str">
        <f>IF(D93="","",SUMIFS('Data entry'!$K$3:$K$1000,'Data entry'!$E$3:$E$1000,"Purchase",'Data entry'!$G$3:$G$1000,D93))</f>
        <v/>
      </c>
      <c r="H93" s="17" t="str">
        <f>IF(D93="","",SUMIFS('Data entry'!$K$3:$K$1000,'Data entry'!$E$3:$E$1000,"Sale",'Data entry'!$G$3:$G$1000,D93))</f>
        <v/>
      </c>
      <c r="I93" s="17" t="str">
        <f>IF(D93="","",SUMIFS('Data entry'!$K$3:$K$1000,'Data entry'!$E$3:$E$1000,"Sale",'Data entry'!$G$3:$G$1000,D93)-SUMIFS('Data entry'!$K$3:$K$1000,'Data entry'!$E$3:$E$1000,"Purchase",'Data entry'!$G$3:$G$1000,D93))</f>
        <v/>
      </c>
      <c r="J93" s="16" t="str">
        <f>IF(D93="","",SUMIFS('Data entry'!$J$3:$J$1000,'Data entry'!$E$3:$E$1000,"Sale",'Data entry'!$G$3:$G$1000,D93))</f>
        <v/>
      </c>
      <c r="K93" s="16" t="str">
        <f>IF(D93="","",SUMIFS('Data entry'!$J$3:$J$1000,'Data entry'!$E$3:$E$1000,"Purchase",'Data entry'!$G$3:$G$1000,D93))</f>
        <v/>
      </c>
      <c r="L93" s="16" t="str">
        <f t="shared" si="6"/>
        <v/>
      </c>
      <c r="M93" s="15"/>
      <c r="N93" s="16" t="str">
        <f t="shared" si="7"/>
        <v/>
      </c>
      <c r="O93" s="44"/>
      <c r="P93" s="45"/>
      <c r="Q93" s="46" t="str">
        <f>IF(O93="","",SUMIFS('Data entry'!$K$3:$K$1000,'Data entry'!$E$3:$E$1000,"Supply",'Data entry'!$G$3:$G$1000,O93))</f>
        <v/>
      </c>
      <c r="R93" s="46" t="str">
        <f t="shared" si="8"/>
        <v/>
      </c>
      <c r="S93" s="43"/>
      <c r="T93" s="47" t="str">
        <f>IF(O93="","",SUMIFS('Data entry'!$J$3:$J$1000,'Data entry'!$E$3:$E$1000,"Supply",'Data entry'!$F$3:$F$1000,O93))</f>
        <v/>
      </c>
      <c r="U93" s="48"/>
      <c r="V93" s="48" t="str">
        <f t="shared" si="10"/>
        <v/>
      </c>
      <c r="W93" s="43" t="str">
        <f t="shared" si="9"/>
        <v/>
      </c>
    </row>
    <row r="94" spans="2:23" ht="15" thickBot="1" x14ac:dyDescent="0.35">
      <c r="B94" s="36"/>
      <c r="C94" s="15"/>
      <c r="D94" s="15"/>
      <c r="E94" s="42"/>
      <c r="F94" s="15"/>
      <c r="G94" s="17" t="str">
        <f>IF(D94="","",SUMIFS('Data entry'!$K$3:$K$1000,'Data entry'!$E$3:$E$1000,"Purchase",'Data entry'!$G$3:$G$1000,D94))</f>
        <v/>
      </c>
      <c r="H94" s="17" t="str">
        <f>IF(D94="","",SUMIFS('Data entry'!$K$3:$K$1000,'Data entry'!$E$3:$E$1000,"Sale",'Data entry'!$G$3:$G$1000,D94))</f>
        <v/>
      </c>
      <c r="I94" s="17" t="str">
        <f>IF(D94="","",SUMIFS('Data entry'!$K$3:$K$1000,'Data entry'!$E$3:$E$1000,"Sale",'Data entry'!$G$3:$G$1000,D94)-SUMIFS('Data entry'!$K$3:$K$1000,'Data entry'!$E$3:$E$1000,"Purchase",'Data entry'!$G$3:$G$1000,D94))</f>
        <v/>
      </c>
      <c r="J94" s="16" t="str">
        <f>IF(D94="","",SUMIFS('Data entry'!$J$3:$J$1000,'Data entry'!$E$3:$E$1000,"Sale",'Data entry'!$G$3:$G$1000,D94))</f>
        <v/>
      </c>
      <c r="K94" s="16" t="str">
        <f>IF(D94="","",SUMIFS('Data entry'!$J$3:$J$1000,'Data entry'!$E$3:$E$1000,"Purchase",'Data entry'!$G$3:$G$1000,D94))</f>
        <v/>
      </c>
      <c r="L94" s="16" t="str">
        <f t="shared" si="6"/>
        <v/>
      </c>
      <c r="M94" s="15"/>
      <c r="N94" s="16" t="str">
        <f t="shared" si="7"/>
        <v/>
      </c>
      <c r="O94" s="44"/>
      <c r="P94" s="45"/>
      <c r="Q94" s="46" t="str">
        <f>IF(O94="","",SUMIFS('Data entry'!$K$3:$K$1000,'Data entry'!$E$3:$E$1000,"Supply",'Data entry'!$G$3:$G$1000,O94))</f>
        <v/>
      </c>
      <c r="R94" s="46" t="str">
        <f t="shared" si="8"/>
        <v/>
      </c>
      <c r="S94" s="43"/>
      <c r="T94" s="47" t="str">
        <f>IF(O94="","",SUMIFS('Data entry'!$J$3:$J$1000,'Data entry'!$E$3:$E$1000,"Supply",'Data entry'!$F$3:$F$1000,O94))</f>
        <v/>
      </c>
      <c r="U94" s="48"/>
      <c r="V94" s="48" t="str">
        <f t="shared" si="10"/>
        <v/>
      </c>
      <c r="W94" s="43" t="str">
        <f t="shared" si="9"/>
        <v/>
      </c>
    </row>
    <row r="95" spans="2:23" ht="15" thickBot="1" x14ac:dyDescent="0.35">
      <c r="B95" s="36"/>
      <c r="C95" s="15"/>
      <c r="D95" s="15"/>
      <c r="E95" s="42"/>
      <c r="F95" s="15"/>
      <c r="G95" s="17" t="str">
        <f>IF(D95="","",SUMIFS('Data entry'!$K$3:$K$1000,'Data entry'!$E$3:$E$1000,"Purchase",'Data entry'!$G$3:$G$1000,D95))</f>
        <v/>
      </c>
      <c r="H95" s="17" t="str">
        <f>IF(D95="","",SUMIFS('Data entry'!$K$3:$K$1000,'Data entry'!$E$3:$E$1000,"Sale",'Data entry'!$G$3:$G$1000,D95))</f>
        <v/>
      </c>
      <c r="I95" s="17" t="str">
        <f>IF(D95="","",SUMIFS('Data entry'!$K$3:$K$1000,'Data entry'!$E$3:$E$1000,"Sale",'Data entry'!$G$3:$G$1000,D95)-SUMIFS('Data entry'!$K$3:$K$1000,'Data entry'!$E$3:$E$1000,"Purchase",'Data entry'!$G$3:$G$1000,D95))</f>
        <v/>
      </c>
      <c r="J95" s="16" t="str">
        <f>IF(D95="","",SUMIFS('Data entry'!$J$3:$J$1000,'Data entry'!$E$3:$E$1000,"Sale",'Data entry'!$G$3:$G$1000,D95))</f>
        <v/>
      </c>
      <c r="K95" s="16" t="str">
        <f>IF(D95="","",SUMIFS('Data entry'!$J$3:$J$1000,'Data entry'!$E$3:$E$1000,"Purchase",'Data entry'!$G$3:$G$1000,D95))</f>
        <v/>
      </c>
      <c r="L95" s="16" t="str">
        <f t="shared" si="6"/>
        <v/>
      </c>
      <c r="M95" s="15"/>
      <c r="N95" s="16" t="str">
        <f t="shared" si="7"/>
        <v/>
      </c>
      <c r="O95" s="44"/>
      <c r="P95" s="45"/>
      <c r="Q95" s="46" t="str">
        <f>IF(O95="","",SUMIFS('Data entry'!$K$3:$K$1000,'Data entry'!$E$3:$E$1000,"Supply",'Data entry'!$G$3:$G$1000,O95))</f>
        <v/>
      </c>
      <c r="R95" s="46" t="str">
        <f t="shared" si="8"/>
        <v/>
      </c>
      <c r="S95" s="43"/>
      <c r="T95" s="47" t="str">
        <f>IF(O95="","",SUMIFS('Data entry'!$J$3:$J$1000,'Data entry'!$E$3:$E$1000,"Supply",'Data entry'!$F$3:$F$1000,O95))</f>
        <v/>
      </c>
      <c r="U95" s="48"/>
      <c r="V95" s="48" t="str">
        <f t="shared" si="10"/>
        <v/>
      </c>
      <c r="W95" s="43" t="str">
        <f t="shared" si="9"/>
        <v/>
      </c>
    </row>
    <row r="96" spans="2:23" ht="15" thickBot="1" x14ac:dyDescent="0.35">
      <c r="B96" s="36"/>
      <c r="C96" s="15"/>
      <c r="D96" s="15"/>
      <c r="E96" s="42"/>
      <c r="F96" s="15"/>
      <c r="G96" s="17" t="str">
        <f>IF(D96="","",SUMIFS('Data entry'!$K$3:$K$1000,'Data entry'!$E$3:$E$1000,"Purchase",'Data entry'!$G$3:$G$1000,D96))</f>
        <v/>
      </c>
      <c r="H96" s="17" t="str">
        <f>IF(D96="","",SUMIFS('Data entry'!$K$3:$K$1000,'Data entry'!$E$3:$E$1000,"Sale",'Data entry'!$G$3:$G$1000,D96))</f>
        <v/>
      </c>
      <c r="I96" s="17" t="str">
        <f>IF(D96="","",SUMIFS('Data entry'!$K$3:$K$1000,'Data entry'!$E$3:$E$1000,"Sale",'Data entry'!$G$3:$G$1000,D96)-SUMIFS('Data entry'!$K$3:$K$1000,'Data entry'!$E$3:$E$1000,"Purchase",'Data entry'!$G$3:$G$1000,D96))</f>
        <v/>
      </c>
      <c r="J96" s="16" t="str">
        <f>IF(D96="","",SUMIFS('Data entry'!$J$3:$J$1000,'Data entry'!$E$3:$E$1000,"Sale",'Data entry'!$G$3:$G$1000,D96))</f>
        <v/>
      </c>
      <c r="K96" s="16" t="str">
        <f>IF(D96="","",SUMIFS('Data entry'!$J$3:$J$1000,'Data entry'!$E$3:$E$1000,"Purchase",'Data entry'!$G$3:$G$1000,D96))</f>
        <v/>
      </c>
      <c r="L96" s="16" t="str">
        <f t="shared" si="6"/>
        <v/>
      </c>
      <c r="M96" s="15"/>
      <c r="N96" s="16" t="str">
        <f t="shared" si="7"/>
        <v/>
      </c>
      <c r="O96" s="44"/>
      <c r="P96" s="45"/>
      <c r="Q96" s="46" t="str">
        <f>IF(O96="","",SUMIFS('Data entry'!$K$3:$K$1000,'Data entry'!$E$3:$E$1000,"Supply",'Data entry'!$G$3:$G$1000,O96))</f>
        <v/>
      </c>
      <c r="R96" s="46" t="str">
        <f t="shared" si="8"/>
        <v/>
      </c>
      <c r="S96" s="43"/>
      <c r="T96" s="47" t="str">
        <f>IF(O96="","",SUMIFS('Data entry'!$J$3:$J$1000,'Data entry'!$E$3:$E$1000,"Supply",'Data entry'!$F$3:$F$1000,O96))</f>
        <v/>
      </c>
      <c r="U96" s="48"/>
      <c r="V96" s="48" t="str">
        <f t="shared" si="10"/>
        <v/>
      </c>
      <c r="W96" s="43" t="str">
        <f t="shared" si="9"/>
        <v/>
      </c>
    </row>
    <row r="97" spans="2:23" ht="15" thickBot="1" x14ac:dyDescent="0.35">
      <c r="B97" s="36"/>
      <c r="C97" s="15"/>
      <c r="D97" s="15"/>
      <c r="E97" s="42"/>
      <c r="F97" s="15"/>
      <c r="G97" s="17" t="str">
        <f>IF(D97="","",SUMIFS('Data entry'!$K$3:$K$1000,'Data entry'!$E$3:$E$1000,"Purchase",'Data entry'!$G$3:$G$1000,D97))</f>
        <v/>
      </c>
      <c r="H97" s="17" t="str">
        <f>IF(D97="","",SUMIFS('Data entry'!$K$3:$K$1000,'Data entry'!$E$3:$E$1000,"Sale",'Data entry'!$G$3:$G$1000,D97))</f>
        <v/>
      </c>
      <c r="I97" s="17" t="str">
        <f>IF(D97="","",SUMIFS('Data entry'!$K$3:$K$1000,'Data entry'!$E$3:$E$1000,"Sale",'Data entry'!$G$3:$G$1000,D97)-SUMIFS('Data entry'!$K$3:$K$1000,'Data entry'!$E$3:$E$1000,"Purchase",'Data entry'!$G$3:$G$1000,D97))</f>
        <v/>
      </c>
      <c r="J97" s="16" t="str">
        <f>IF(D97="","",SUMIFS('Data entry'!$J$3:$J$1000,'Data entry'!$E$3:$E$1000,"Sale",'Data entry'!$G$3:$G$1000,D97))</f>
        <v/>
      </c>
      <c r="K97" s="16" t="str">
        <f>IF(D97="","",SUMIFS('Data entry'!$J$3:$J$1000,'Data entry'!$E$3:$E$1000,"Purchase",'Data entry'!$G$3:$G$1000,D97))</f>
        <v/>
      </c>
      <c r="L97" s="16" t="str">
        <f t="shared" si="6"/>
        <v/>
      </c>
      <c r="M97" s="15"/>
      <c r="N97" s="16" t="str">
        <f t="shared" si="7"/>
        <v/>
      </c>
      <c r="O97" s="44"/>
      <c r="P97" s="45"/>
      <c r="Q97" s="46" t="str">
        <f>IF(O97="","",SUMIFS('Data entry'!$K$3:$K$1000,'Data entry'!$E$3:$E$1000,"Supply",'Data entry'!$G$3:$G$1000,O97))</f>
        <v/>
      </c>
      <c r="R97" s="46" t="str">
        <f t="shared" si="8"/>
        <v/>
      </c>
      <c r="S97" s="43"/>
      <c r="T97" s="47" t="str">
        <f>IF(O97="","",SUMIFS('Data entry'!$J$3:$J$1000,'Data entry'!$E$3:$E$1000,"Supply",'Data entry'!$F$3:$F$1000,O97))</f>
        <v/>
      </c>
      <c r="U97" s="48"/>
      <c r="V97" s="48" t="str">
        <f t="shared" si="10"/>
        <v/>
      </c>
      <c r="W97" s="43" t="str">
        <f t="shared" si="9"/>
        <v/>
      </c>
    </row>
    <row r="98" spans="2:23" ht="15" thickBot="1" x14ac:dyDescent="0.35">
      <c r="B98" s="36"/>
      <c r="C98" s="15"/>
      <c r="D98" s="15"/>
      <c r="E98" s="42"/>
      <c r="F98" s="15"/>
      <c r="G98" s="17" t="str">
        <f>IF(D98="","",SUMIFS('Data entry'!$K$3:$K$1000,'Data entry'!$E$3:$E$1000,"Purchase",'Data entry'!$G$3:$G$1000,D98))</f>
        <v/>
      </c>
      <c r="H98" s="17" t="str">
        <f>IF(D98="","",SUMIFS('Data entry'!$K$3:$K$1000,'Data entry'!$E$3:$E$1000,"Sale",'Data entry'!$G$3:$G$1000,D98))</f>
        <v/>
      </c>
      <c r="I98" s="17" t="str">
        <f>IF(D98="","",SUMIFS('Data entry'!$K$3:$K$1000,'Data entry'!$E$3:$E$1000,"Sale",'Data entry'!$G$3:$G$1000,D98)-SUMIFS('Data entry'!$K$3:$K$1000,'Data entry'!$E$3:$E$1000,"Purchase",'Data entry'!$G$3:$G$1000,D98))</f>
        <v/>
      </c>
      <c r="J98" s="16" t="str">
        <f>IF(D98="","",SUMIFS('Data entry'!$J$3:$J$1000,'Data entry'!$E$3:$E$1000,"Sale",'Data entry'!$G$3:$G$1000,D98))</f>
        <v/>
      </c>
      <c r="K98" s="16" t="str">
        <f>IF(D98="","",SUMIFS('Data entry'!$J$3:$J$1000,'Data entry'!$E$3:$E$1000,"Purchase",'Data entry'!$G$3:$G$1000,D98))</f>
        <v/>
      </c>
      <c r="L98" s="16" t="str">
        <f t="shared" si="6"/>
        <v/>
      </c>
      <c r="M98" s="15"/>
      <c r="N98" s="16" t="str">
        <f t="shared" si="7"/>
        <v/>
      </c>
      <c r="O98" s="44"/>
      <c r="P98" s="45"/>
      <c r="Q98" s="46" t="str">
        <f>IF(O98="","",SUMIFS('Data entry'!$K$3:$K$1000,'Data entry'!$E$3:$E$1000,"Supply",'Data entry'!$G$3:$G$1000,O98))</f>
        <v/>
      </c>
      <c r="R98" s="46" t="str">
        <f t="shared" si="8"/>
        <v/>
      </c>
      <c r="S98" s="43"/>
      <c r="T98" s="47" t="str">
        <f>IF(O98="","",SUMIFS('Data entry'!$J$3:$J$1000,'Data entry'!$E$3:$E$1000,"Supply",'Data entry'!$F$3:$F$1000,O98))</f>
        <v/>
      </c>
      <c r="U98" s="48"/>
      <c r="V98" s="48" t="str">
        <f t="shared" si="10"/>
        <v/>
      </c>
      <c r="W98" s="43" t="str">
        <f t="shared" si="9"/>
        <v/>
      </c>
    </row>
    <row r="99" spans="2:23" ht="15" thickBot="1" x14ac:dyDescent="0.35">
      <c r="B99" s="36"/>
      <c r="C99" s="15"/>
      <c r="D99" s="15"/>
      <c r="E99" s="42"/>
      <c r="F99" s="15"/>
      <c r="G99" s="17" t="str">
        <f>IF(D99="","",SUMIFS('Data entry'!$K$3:$K$1000,'Data entry'!$E$3:$E$1000,"Purchase",'Data entry'!$G$3:$G$1000,D99))</f>
        <v/>
      </c>
      <c r="H99" s="17" t="str">
        <f>IF(D99="","",SUMIFS('Data entry'!$K$3:$K$1000,'Data entry'!$E$3:$E$1000,"Sale",'Data entry'!$G$3:$G$1000,D99))</f>
        <v/>
      </c>
      <c r="I99" s="17" t="str">
        <f>IF(D99="","",SUMIFS('Data entry'!$K$3:$K$1000,'Data entry'!$E$3:$E$1000,"Sale",'Data entry'!$G$3:$G$1000,D99)-SUMIFS('Data entry'!$K$3:$K$1000,'Data entry'!$E$3:$E$1000,"Purchase",'Data entry'!$G$3:$G$1000,D99))</f>
        <v/>
      </c>
      <c r="J99" s="16" t="str">
        <f>IF(D99="","",SUMIFS('Data entry'!$J$3:$J$1000,'Data entry'!$E$3:$E$1000,"Sale",'Data entry'!$G$3:$G$1000,D99))</f>
        <v/>
      </c>
      <c r="K99" s="16" t="str">
        <f>IF(D99="","",SUMIFS('Data entry'!$J$3:$J$1000,'Data entry'!$E$3:$E$1000,"Purchase",'Data entry'!$G$3:$G$1000,D99))</f>
        <v/>
      </c>
      <c r="L99" s="16" t="str">
        <f t="shared" ref="L99:L100" si="11">IFERROR(F99+K99-J99,"")</f>
        <v/>
      </c>
      <c r="M99" s="15"/>
      <c r="N99" s="16" t="str">
        <f t="shared" si="7"/>
        <v/>
      </c>
      <c r="O99" s="44"/>
      <c r="P99" s="45"/>
      <c r="Q99" s="46" t="str">
        <f>IF(O99="","",SUMIFS('Data entry'!$K$3:$K$1000,'Data entry'!$E$3:$E$1000,"Supply",'Data entry'!$G$3:$G$1000,O99))</f>
        <v/>
      </c>
      <c r="R99" s="46" t="str">
        <f t="shared" si="8"/>
        <v/>
      </c>
      <c r="S99" s="43"/>
      <c r="T99" s="47" t="str">
        <f>IF(O99="","",SUMIFS('Data entry'!$J$3:$J$1000,'Data entry'!$E$3:$E$1000,"Supply",'Data entry'!$F$3:$F$1000,O99))</f>
        <v/>
      </c>
      <c r="U99" s="48"/>
      <c r="V99" s="48" t="str">
        <f t="shared" si="10"/>
        <v/>
      </c>
      <c r="W99" s="43" t="str">
        <f t="shared" si="9"/>
        <v/>
      </c>
    </row>
    <row r="100" spans="2:23" ht="15" thickBot="1" x14ac:dyDescent="0.35">
      <c r="B100" s="37"/>
      <c r="C100" s="15"/>
      <c r="D100" s="15"/>
      <c r="E100" s="42"/>
      <c r="F100" s="15"/>
      <c r="G100" s="17" t="str">
        <f>IF(D100="","",SUMIFS('Data entry'!$K$3:$K$1000,'Data entry'!$E$3:$E$1000,"Purchase",'Data entry'!$G$3:$G$1000,D100))</f>
        <v/>
      </c>
      <c r="H100" s="17" t="str">
        <f>IF(D100="","",SUMIFS('Data entry'!$K$3:$K$1000,'Data entry'!$E$3:$E$1000,"Sale",'Data entry'!$G$3:$G$1000,D100))</f>
        <v/>
      </c>
      <c r="I100" s="17" t="str">
        <f>IF(D100="","",SUMIFS('Data entry'!$K$3:$K$1000,'Data entry'!$E$3:$E$1000,"Sale",'Data entry'!$G$3:$G$1000,D100)-SUMIFS('Data entry'!$K$3:$K$1000,'Data entry'!$E$3:$E$1000,"Purchase",'Data entry'!$G$3:$G$1000,D100))</f>
        <v/>
      </c>
      <c r="J100" s="16" t="str">
        <f>IF(D100="","",SUMIFS('Data entry'!$J$3:$J$1000,'Data entry'!$E$3:$E$1000,"Sale",'Data entry'!$G$3:$G$1000,D100))</f>
        <v/>
      </c>
      <c r="K100" s="16" t="str">
        <f>IF(D100="","",SUMIFS('Data entry'!$J$3:$J$1000,'Data entry'!$E$3:$E$1000,"Purchase",'Data entry'!$G$3:$G$1000,D100))</f>
        <v/>
      </c>
      <c r="L100" s="16" t="str">
        <f t="shared" si="11"/>
        <v/>
      </c>
      <c r="M100" s="15"/>
      <c r="N100" s="16" t="str">
        <f t="shared" si="7"/>
        <v/>
      </c>
      <c r="O100" s="44"/>
      <c r="P100" s="45"/>
      <c r="Q100" s="46" t="str">
        <f>IF(O100="","",SUMIFS('Data entry'!$K$3:$K$1000,'Data entry'!$E$3:$E$1000,"Supply",'Data entry'!$G$3:$G$1000,O100))</f>
        <v/>
      </c>
      <c r="R100" s="46" t="str">
        <f t="shared" si="8"/>
        <v/>
      </c>
      <c r="S100" s="43"/>
      <c r="T100" s="47" t="str">
        <f>IF(O100="","",SUMIFS('Data entry'!$J$3:$J$1000,'Data entry'!$E$3:$E$1000,"Supply",'Data entry'!$F$3:$F$1000,O100))</f>
        <v/>
      </c>
      <c r="U100" s="48"/>
      <c r="V100" s="48" t="str">
        <f t="shared" si="10"/>
        <v/>
      </c>
      <c r="W100" s="43" t="str">
        <f t="shared" si="9"/>
        <v/>
      </c>
    </row>
  </sheetData>
  <autoFilter ref="C2:N2" xr:uid="{3CF4F6A0-8C36-4958-A97A-B88DB9E3E46C}"/>
  <phoneticPr fontId="1" type="noConversion"/>
  <conditionalFormatting sqref="N1:Q1048576 T1:T1048576">
    <cfRule type="cellIs" dxfId="32" priority="7" operator="equal">
      <formula>"Out of stock"</formula>
    </cfRule>
    <cfRule type="cellIs" dxfId="31" priority="8" operator="equal">
      <formula>"Stock running out"</formula>
    </cfRule>
    <cfRule type="cellIs" dxfId="30" priority="9" operator="equal">
      <formula>"In stock"</formula>
    </cfRule>
  </conditionalFormatting>
  <conditionalFormatting sqref="W3:W100">
    <cfRule type="cellIs" dxfId="29" priority="4" operator="equal">
      <formula>"Out of stock"</formula>
    </cfRule>
    <cfRule type="cellIs" dxfId="28" priority="5" operator="equal">
      <formula>"Stock running out"</formula>
    </cfRule>
    <cfRule type="cellIs" dxfId="27" priority="6" operator="equal">
      <formula>"In stock"</formula>
    </cfRule>
  </conditionalFormatting>
  <conditionalFormatting sqref="U1:U1048576">
    <cfRule type="cellIs" dxfId="26" priority="1" operator="equal">
      <formula>"Out of stock"</formula>
    </cfRule>
    <cfRule type="cellIs" dxfId="25" priority="2" operator="equal">
      <formula>"Stock running out"</formula>
    </cfRule>
    <cfRule type="cellIs" dxfId="24" priority="3" operator="equal">
      <formula>"In stock"</formula>
    </cfRule>
  </conditionalFormatting>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E5E6A0E-BEE7-44CE-AB6B-923EA5104E7B}">
          <x14:formula1>
            <xm:f>Settings!$D$3:$D$6</xm:f>
          </x14:formula1>
          <xm:sqref>C3:C98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75EE-E62E-451E-BF03-A8FD101EAD3D}">
  <sheetPr codeName="Sheet3"/>
  <dimension ref="B1:AD100"/>
  <sheetViews>
    <sheetView tabSelected="1" zoomScale="90" zoomScaleNormal="90" workbookViewId="0">
      <selection activeCell="I33" sqref="I33"/>
    </sheetView>
  </sheetViews>
  <sheetFormatPr defaultColWidth="11" defaultRowHeight="14.4" x14ac:dyDescent="0.3"/>
  <cols>
    <col min="1" max="1" width="1.77734375" style="22" customWidth="1"/>
    <col min="2" max="3" width="25.77734375" style="22" customWidth="1"/>
    <col min="4" max="4" width="1.77734375" style="22" customWidth="1"/>
    <col min="5" max="11" width="10.77734375" style="22" customWidth="1"/>
    <col min="12" max="12" width="14.88671875" style="22" bestFit="1" customWidth="1"/>
    <col min="13" max="13" width="15.6640625" style="22" bestFit="1" customWidth="1"/>
    <col min="14" max="17" width="10.77734375" style="22" customWidth="1"/>
    <col min="18" max="18" width="14.88671875" style="22" bestFit="1" customWidth="1"/>
    <col min="19" max="19" width="17.21875" style="22" bestFit="1" customWidth="1"/>
    <col min="20" max="20" width="12.77734375" style="22" bestFit="1" customWidth="1"/>
    <col min="21" max="21" width="16.5546875" style="22" bestFit="1" customWidth="1"/>
    <col min="22" max="23" width="11" style="22"/>
    <col min="24" max="24" width="14.88671875" style="22" bestFit="1" customWidth="1"/>
    <col min="25" max="25" width="12.44140625" style="22" bestFit="1" customWidth="1"/>
    <col min="26" max="26" width="9.77734375" style="22" bestFit="1" customWidth="1"/>
    <col min="27" max="27" width="3.77734375" style="22" bestFit="1" customWidth="1"/>
    <col min="28" max="28" width="5.21875" style="22" bestFit="1" customWidth="1"/>
    <col min="29" max="29" width="10.77734375" style="22" bestFit="1" customWidth="1"/>
    <col min="30" max="16384" width="11" style="22"/>
  </cols>
  <sheetData>
    <row r="1" spans="2:18" s="20" customFormat="1" ht="14.4" customHeight="1" thickBot="1" x14ac:dyDescent="0.35"/>
    <row r="2" spans="2:18" s="20" customFormat="1" ht="14.4" customHeight="1" thickTop="1" x14ac:dyDescent="0.3">
      <c r="B2" s="52"/>
      <c r="C2" s="53"/>
      <c r="D2" s="54"/>
      <c r="E2" s="21"/>
      <c r="F2" s="21"/>
      <c r="G2" s="21"/>
      <c r="H2" s="21"/>
      <c r="I2" s="21"/>
      <c r="J2" s="21"/>
      <c r="K2" s="21"/>
      <c r="L2" s="21"/>
      <c r="M2" s="21"/>
      <c r="N2" s="21"/>
      <c r="O2" s="21"/>
      <c r="P2" s="21"/>
      <c r="Q2" s="21"/>
      <c r="R2" s="21"/>
    </row>
    <row r="3" spans="2:18" s="20" customFormat="1" ht="14.4" customHeight="1" x14ac:dyDescent="0.3">
      <c r="B3" s="55"/>
      <c r="C3" s="29"/>
      <c r="D3" s="56"/>
      <c r="E3" s="21"/>
      <c r="F3" s="21"/>
      <c r="G3" s="21"/>
      <c r="H3" s="21"/>
      <c r="I3" s="21"/>
      <c r="J3" s="21"/>
      <c r="K3" s="21"/>
      <c r="L3" s="21"/>
      <c r="M3" s="21"/>
      <c r="N3" s="21"/>
      <c r="O3" s="21"/>
      <c r="P3" s="21"/>
      <c r="Q3" s="21"/>
      <c r="R3" s="21"/>
    </row>
    <row r="4" spans="2:18" s="20" customFormat="1" ht="14.4" customHeight="1" x14ac:dyDescent="0.3">
      <c r="B4" s="55"/>
      <c r="C4" s="29"/>
      <c r="D4" s="56"/>
      <c r="E4" s="21"/>
      <c r="F4" s="21"/>
      <c r="G4" s="21"/>
      <c r="H4" s="21"/>
      <c r="I4" s="21"/>
      <c r="J4" s="21"/>
      <c r="K4" s="21"/>
      <c r="L4" s="21"/>
      <c r="M4" s="21"/>
      <c r="N4" s="21"/>
      <c r="O4" s="21"/>
      <c r="P4" s="21"/>
      <c r="Q4" s="21"/>
      <c r="R4" s="21"/>
    </row>
    <row r="5" spans="2:18" s="20" customFormat="1" ht="14.4" customHeight="1" x14ac:dyDescent="0.3">
      <c r="B5" s="55"/>
      <c r="C5" s="29"/>
      <c r="D5" s="56"/>
      <c r="E5" s="21"/>
      <c r="F5" s="21"/>
      <c r="G5" s="21"/>
      <c r="H5" s="21"/>
      <c r="I5" s="21"/>
      <c r="J5" s="21"/>
      <c r="K5" s="21"/>
      <c r="L5" s="21"/>
      <c r="M5" s="21"/>
      <c r="N5" s="21"/>
      <c r="O5" s="21"/>
      <c r="P5" s="21"/>
      <c r="Q5" s="21"/>
      <c r="R5" s="21"/>
    </row>
    <row r="6" spans="2:18" s="20" customFormat="1" ht="14.4" customHeight="1" x14ac:dyDescent="0.3">
      <c r="B6" s="55"/>
      <c r="C6" s="29"/>
      <c r="D6" s="56"/>
      <c r="E6" s="21"/>
      <c r="F6" s="21"/>
      <c r="G6" s="21"/>
      <c r="H6" s="21"/>
      <c r="I6" s="21"/>
      <c r="J6" s="21"/>
      <c r="K6" s="21"/>
      <c r="L6" s="21"/>
      <c r="M6" s="21"/>
      <c r="N6" s="21"/>
      <c r="O6" s="21"/>
      <c r="P6" s="21"/>
      <c r="Q6" s="21"/>
      <c r="R6" s="21"/>
    </row>
    <row r="7" spans="2:18" s="20" customFormat="1" ht="14.4" customHeight="1" x14ac:dyDescent="0.3">
      <c r="B7" s="55"/>
      <c r="C7" s="29"/>
      <c r="D7" s="56"/>
      <c r="E7" s="21"/>
      <c r="F7" s="21"/>
      <c r="G7" s="21"/>
      <c r="H7" s="21"/>
      <c r="I7" s="21"/>
      <c r="J7" s="21"/>
      <c r="K7" s="21"/>
      <c r="L7" s="21"/>
      <c r="M7" s="21"/>
      <c r="N7" s="21"/>
      <c r="O7" s="21"/>
      <c r="P7" s="21"/>
      <c r="Q7" s="21"/>
      <c r="R7" s="21"/>
    </row>
    <row r="8" spans="2:18" s="20" customFormat="1" ht="14.4" customHeight="1" x14ac:dyDescent="0.3">
      <c r="B8" s="55"/>
      <c r="C8" s="29"/>
      <c r="D8" s="56"/>
      <c r="E8" s="21"/>
      <c r="F8" s="21"/>
      <c r="G8" s="21"/>
      <c r="H8" s="21"/>
      <c r="I8" s="21"/>
      <c r="J8" s="21"/>
      <c r="K8" s="21"/>
      <c r="L8" s="21"/>
      <c r="M8" s="21"/>
      <c r="N8" s="21"/>
      <c r="O8" s="21"/>
      <c r="P8" s="21"/>
      <c r="Q8" s="21"/>
      <c r="R8" s="21"/>
    </row>
    <row r="9" spans="2:18" s="20" customFormat="1" ht="14.4" customHeight="1" x14ac:dyDescent="0.3">
      <c r="B9" s="55"/>
      <c r="C9" s="29"/>
      <c r="D9" s="56"/>
      <c r="E9" s="21"/>
      <c r="F9" s="21"/>
      <c r="G9" s="21"/>
      <c r="H9" s="21"/>
      <c r="I9" s="21"/>
      <c r="J9" s="21"/>
      <c r="K9" s="21"/>
      <c r="L9" s="21"/>
      <c r="M9" s="21"/>
      <c r="N9" s="21"/>
      <c r="O9" s="21"/>
      <c r="P9" s="21"/>
      <c r="Q9" s="21"/>
      <c r="R9" s="21"/>
    </row>
    <row r="10" spans="2:18" s="20" customFormat="1" ht="14.4" customHeight="1" x14ac:dyDescent="0.3">
      <c r="B10" s="55"/>
      <c r="C10" s="29"/>
      <c r="D10" s="56"/>
      <c r="E10" s="21"/>
      <c r="F10" s="21"/>
      <c r="G10" s="21"/>
      <c r="H10" s="21"/>
      <c r="I10" s="21"/>
      <c r="J10" s="21"/>
      <c r="K10" s="21"/>
      <c r="L10" s="21"/>
      <c r="M10" s="21"/>
      <c r="N10" s="21"/>
      <c r="O10" s="21"/>
      <c r="P10" s="21"/>
      <c r="Q10" s="21"/>
      <c r="R10" s="21"/>
    </row>
    <row r="11" spans="2:18" s="20" customFormat="1" ht="14.4" customHeight="1" x14ac:dyDescent="0.3">
      <c r="B11" s="55"/>
      <c r="C11" s="29"/>
      <c r="D11" s="56"/>
      <c r="E11" s="21"/>
      <c r="F11" s="21"/>
      <c r="G11" s="21"/>
      <c r="H11" s="21"/>
      <c r="I11" s="21"/>
      <c r="J11" s="21"/>
      <c r="K11" s="21"/>
      <c r="L11" s="21"/>
      <c r="M11" s="21"/>
      <c r="N11" s="21"/>
      <c r="O11" s="21"/>
      <c r="P11" s="21"/>
      <c r="Q11" s="21"/>
      <c r="R11" s="21"/>
    </row>
    <row r="12" spans="2:18" s="20" customFormat="1" ht="14.4" customHeight="1" x14ac:dyDescent="0.3">
      <c r="B12" s="55"/>
      <c r="C12" s="29"/>
      <c r="D12" s="56"/>
      <c r="E12" s="21"/>
      <c r="F12" s="21"/>
      <c r="G12" s="21"/>
      <c r="H12" s="21"/>
      <c r="I12" s="21"/>
      <c r="J12" s="21"/>
      <c r="K12" s="21"/>
      <c r="L12" s="21"/>
      <c r="M12" s="21"/>
      <c r="N12" s="21"/>
      <c r="O12" s="21"/>
      <c r="P12" s="21"/>
      <c r="Q12" s="21"/>
      <c r="R12" s="21"/>
    </row>
    <row r="13" spans="2:18" s="20" customFormat="1" ht="14.4" customHeight="1" x14ac:dyDescent="0.3">
      <c r="B13" s="55"/>
      <c r="C13" s="29"/>
      <c r="D13" s="56"/>
      <c r="E13" s="21"/>
      <c r="F13" s="21"/>
      <c r="G13" s="21"/>
      <c r="H13" s="21"/>
      <c r="I13" s="21"/>
      <c r="J13" s="21"/>
      <c r="K13" s="21"/>
      <c r="L13" s="21"/>
      <c r="M13" s="21"/>
      <c r="N13" s="21"/>
      <c r="O13" s="21"/>
      <c r="P13" s="21"/>
      <c r="Q13" s="21"/>
      <c r="R13" s="21"/>
    </row>
    <row r="14" spans="2:18" s="20" customFormat="1" ht="14.4" customHeight="1" x14ac:dyDescent="0.3">
      <c r="B14" s="55"/>
      <c r="C14" s="29"/>
      <c r="D14" s="56"/>
      <c r="E14" s="21"/>
      <c r="F14" s="21"/>
      <c r="G14" s="21"/>
      <c r="H14" s="21"/>
      <c r="I14" s="21"/>
      <c r="J14" s="21"/>
      <c r="K14" s="21"/>
      <c r="L14" s="21"/>
      <c r="M14" s="21"/>
      <c r="N14" s="21"/>
      <c r="O14" s="21"/>
      <c r="P14" s="21"/>
      <c r="Q14" s="21"/>
      <c r="R14" s="21"/>
    </row>
    <row r="15" spans="2:18" s="20" customFormat="1" ht="14.4" customHeight="1" x14ac:dyDescent="0.3">
      <c r="B15" s="55"/>
      <c r="C15" s="29"/>
      <c r="D15" s="56"/>
      <c r="E15" s="21"/>
      <c r="F15" s="21"/>
      <c r="G15" s="21"/>
      <c r="H15" s="21"/>
      <c r="I15" s="21"/>
      <c r="J15" s="21"/>
      <c r="K15" s="21"/>
      <c r="L15" s="21"/>
      <c r="M15" s="21"/>
      <c r="N15" s="21"/>
      <c r="O15" s="21"/>
      <c r="P15" s="21"/>
      <c r="Q15" s="21"/>
      <c r="R15" s="21"/>
    </row>
    <row r="16" spans="2:18" s="20" customFormat="1" ht="14.4" customHeight="1" x14ac:dyDescent="0.3">
      <c r="B16" s="55"/>
      <c r="C16" s="29"/>
      <c r="D16" s="56"/>
      <c r="E16" s="21"/>
      <c r="F16" s="21"/>
      <c r="G16" s="21"/>
      <c r="H16" s="21"/>
      <c r="I16" s="21"/>
      <c r="J16" s="21"/>
      <c r="K16" s="21"/>
      <c r="L16" s="21"/>
      <c r="M16" s="21"/>
      <c r="N16" s="21"/>
      <c r="O16" s="21"/>
      <c r="P16" s="21"/>
      <c r="Q16" s="21"/>
      <c r="R16" s="21"/>
    </row>
    <row r="17" spans="2:18" s="20" customFormat="1" ht="14.4" customHeight="1" x14ac:dyDescent="0.3">
      <c r="B17" s="55"/>
      <c r="C17" s="29"/>
      <c r="D17" s="56"/>
      <c r="E17" s="21"/>
      <c r="F17" s="21"/>
      <c r="G17" s="21"/>
      <c r="H17" s="21"/>
      <c r="I17" s="21"/>
      <c r="J17" s="21"/>
      <c r="K17" s="21"/>
      <c r="L17" s="21"/>
      <c r="M17" s="21"/>
      <c r="N17" s="21"/>
      <c r="O17" s="21"/>
      <c r="P17" s="21"/>
      <c r="Q17" s="21"/>
      <c r="R17" s="21"/>
    </row>
    <row r="18" spans="2:18" s="20" customFormat="1" ht="14.4" customHeight="1" x14ac:dyDescent="0.3">
      <c r="B18" s="55"/>
      <c r="C18" s="29"/>
      <c r="D18" s="56"/>
      <c r="E18" s="21"/>
      <c r="F18" s="21"/>
      <c r="G18" s="21"/>
      <c r="H18" s="21"/>
      <c r="I18" s="21"/>
      <c r="J18" s="21"/>
      <c r="K18" s="21"/>
      <c r="L18" s="21"/>
      <c r="M18" s="21"/>
      <c r="N18" s="21"/>
      <c r="O18" s="21"/>
      <c r="P18" s="21"/>
      <c r="Q18" s="21"/>
      <c r="R18" s="21"/>
    </row>
    <row r="19" spans="2:18" s="20" customFormat="1" ht="14.4" customHeight="1" x14ac:dyDescent="0.3">
      <c r="B19" s="55"/>
      <c r="C19" s="29"/>
      <c r="D19" s="56"/>
      <c r="E19" s="21"/>
      <c r="F19" s="21"/>
      <c r="G19" s="21"/>
      <c r="H19" s="21"/>
      <c r="I19" s="21"/>
      <c r="J19" s="21"/>
      <c r="K19" s="21"/>
      <c r="L19" s="21"/>
      <c r="M19" s="21"/>
      <c r="N19" s="21"/>
      <c r="O19" s="21"/>
      <c r="P19" s="21"/>
      <c r="Q19" s="21"/>
      <c r="R19" s="21"/>
    </row>
    <row r="20" spans="2:18" s="20" customFormat="1" ht="14.4" customHeight="1" x14ac:dyDescent="0.3">
      <c r="B20" s="55"/>
      <c r="C20" s="29"/>
      <c r="D20" s="56"/>
      <c r="E20" s="21"/>
      <c r="F20" s="21"/>
      <c r="G20" s="21"/>
      <c r="H20" s="21"/>
      <c r="I20" s="21"/>
      <c r="J20" s="21"/>
      <c r="K20" s="21"/>
      <c r="L20" s="21"/>
      <c r="M20" s="21"/>
      <c r="N20" s="21"/>
      <c r="O20" s="21"/>
      <c r="P20" s="21"/>
      <c r="Q20" s="21"/>
      <c r="R20" s="21"/>
    </row>
    <row r="21" spans="2:18" s="20" customFormat="1" ht="14.4" customHeight="1" x14ac:dyDescent="0.3">
      <c r="B21" s="55"/>
      <c r="C21" s="29"/>
      <c r="D21" s="56"/>
      <c r="E21" s="21"/>
      <c r="F21" s="21"/>
      <c r="G21" s="21"/>
      <c r="H21" s="21"/>
      <c r="I21" s="21"/>
      <c r="J21" s="21"/>
      <c r="K21" s="21"/>
      <c r="L21" s="21"/>
      <c r="M21" s="21"/>
      <c r="N21" s="21"/>
      <c r="O21" s="21"/>
      <c r="P21" s="21"/>
      <c r="Q21" s="21"/>
      <c r="R21" s="21"/>
    </row>
    <row r="22" spans="2:18" s="20" customFormat="1" ht="14.4" customHeight="1" x14ac:dyDescent="0.3">
      <c r="B22" s="55"/>
      <c r="C22" s="29"/>
      <c r="D22" s="56"/>
      <c r="E22" s="21"/>
      <c r="F22" s="21"/>
      <c r="G22" s="21"/>
      <c r="H22" s="21"/>
      <c r="I22" s="21"/>
      <c r="J22" s="21"/>
      <c r="K22" s="21"/>
      <c r="L22" s="21"/>
      <c r="M22" s="21"/>
      <c r="N22" s="21"/>
      <c r="O22" s="21"/>
      <c r="P22" s="21"/>
      <c r="Q22" s="21"/>
      <c r="R22" s="21"/>
    </row>
    <row r="23" spans="2:18" s="20" customFormat="1" ht="14.4" customHeight="1" x14ac:dyDescent="0.3">
      <c r="B23" s="55"/>
      <c r="C23" s="29"/>
      <c r="D23" s="56"/>
      <c r="E23" s="21"/>
      <c r="F23" s="21"/>
      <c r="G23" s="21"/>
      <c r="H23" s="21"/>
      <c r="I23" s="21"/>
      <c r="J23" s="21"/>
      <c r="K23" s="21"/>
      <c r="L23" s="21"/>
      <c r="M23" s="21"/>
      <c r="N23" s="21"/>
      <c r="O23" s="21"/>
      <c r="P23" s="21"/>
      <c r="Q23" s="21"/>
      <c r="R23" s="21"/>
    </row>
    <row r="24" spans="2:18" s="20" customFormat="1" ht="14.4" customHeight="1" x14ac:dyDescent="0.3">
      <c r="B24" s="55"/>
      <c r="C24" s="29"/>
      <c r="D24" s="56"/>
      <c r="E24" s="21"/>
      <c r="F24" s="21"/>
      <c r="G24" s="21"/>
      <c r="H24" s="21"/>
      <c r="I24" s="21"/>
      <c r="J24" s="21"/>
      <c r="K24" s="21"/>
      <c r="L24" s="21"/>
      <c r="M24" s="21"/>
      <c r="N24" s="21"/>
      <c r="O24" s="21"/>
      <c r="P24" s="21"/>
      <c r="Q24" s="21"/>
      <c r="R24" s="21"/>
    </row>
    <row r="25" spans="2:18" s="20" customFormat="1" ht="14.4" customHeight="1" x14ac:dyDescent="0.3">
      <c r="B25" s="55"/>
      <c r="C25" s="29"/>
      <c r="D25" s="56"/>
      <c r="E25" s="21"/>
      <c r="F25" s="21"/>
      <c r="G25" s="21"/>
      <c r="H25" s="21"/>
      <c r="I25" s="21"/>
      <c r="J25" s="21"/>
      <c r="K25" s="21"/>
      <c r="L25" s="21"/>
      <c r="M25" s="21"/>
      <c r="N25" s="21"/>
      <c r="O25" s="21"/>
      <c r="P25" s="21"/>
      <c r="Q25" s="21"/>
      <c r="R25" s="21"/>
    </row>
    <row r="26" spans="2:18" s="20" customFormat="1" ht="14.4" customHeight="1" x14ac:dyDescent="0.3">
      <c r="B26" s="55"/>
      <c r="C26" s="29"/>
      <c r="D26" s="56"/>
      <c r="E26" s="21"/>
      <c r="F26" s="21"/>
      <c r="G26" s="21"/>
      <c r="H26" s="21"/>
      <c r="I26" s="21"/>
      <c r="J26" s="21"/>
      <c r="K26" s="21"/>
      <c r="L26" s="21"/>
      <c r="M26" s="21"/>
      <c r="N26" s="21"/>
      <c r="O26" s="21"/>
      <c r="P26" s="21"/>
      <c r="Q26" s="21"/>
      <c r="R26" s="21"/>
    </row>
    <row r="27" spans="2:18" s="20" customFormat="1" ht="14.4" customHeight="1" x14ac:dyDescent="0.3">
      <c r="B27" s="55"/>
      <c r="C27" s="29"/>
      <c r="D27" s="56"/>
      <c r="E27" s="21"/>
      <c r="F27" s="21"/>
      <c r="G27" s="21"/>
      <c r="H27" s="21"/>
      <c r="I27" s="21"/>
      <c r="J27" s="21"/>
      <c r="K27" s="21"/>
      <c r="L27" s="21"/>
      <c r="M27" s="21"/>
      <c r="N27" s="21"/>
      <c r="O27" s="21"/>
      <c r="P27" s="21"/>
      <c r="Q27" s="21"/>
      <c r="R27" s="21"/>
    </row>
    <row r="28" spans="2:18" s="20" customFormat="1" ht="14.4" customHeight="1" thickBot="1" x14ac:dyDescent="0.35">
      <c r="B28" s="57"/>
      <c r="C28" s="58"/>
      <c r="D28" s="59"/>
      <c r="E28" s="21"/>
      <c r="F28" s="21"/>
      <c r="G28" s="21"/>
      <c r="H28" s="21"/>
      <c r="I28" s="21"/>
      <c r="J28" s="21"/>
      <c r="K28" s="21"/>
      <c r="L28" s="21"/>
      <c r="M28" s="21"/>
      <c r="N28" s="21"/>
      <c r="O28" s="21"/>
      <c r="P28" s="21"/>
      <c r="Q28" s="21"/>
      <c r="R28" s="21"/>
    </row>
    <row r="29" spans="2:18" s="20" customFormat="1" ht="14.4" customHeight="1" thickTop="1" x14ac:dyDescent="0.3"/>
    <row r="30" spans="2:18" s="20" customFormat="1" x14ac:dyDescent="0.3"/>
    <row r="31" spans="2:18" s="20" customFormat="1" x14ac:dyDescent="0.3"/>
    <row r="32" spans="2:18" s="20" customFormat="1" x14ac:dyDescent="0.3"/>
    <row r="33" spans="5:30" s="20" customFormat="1" x14ac:dyDescent="0.3"/>
    <row r="34" spans="5:30" s="21" customFormat="1" x14ac:dyDescent="0.3">
      <c r="Y34" s="20"/>
      <c r="Z34" s="20"/>
      <c r="AA34" s="20"/>
      <c r="AB34" s="20"/>
      <c r="AC34" s="20"/>
      <c r="AD34" s="20"/>
    </row>
    <row r="35" spans="5:30" s="21" customFormat="1" x14ac:dyDescent="0.3">
      <c r="Y35" s="20"/>
      <c r="Z35" s="20"/>
    </row>
    <row r="36" spans="5:30" ht="28.8" x14ac:dyDescent="0.3">
      <c r="E36" s="23" t="s">
        <v>10</v>
      </c>
      <c r="F36" s="23" t="s">
        <v>22</v>
      </c>
      <c r="G36" s="23"/>
      <c r="H36" s="23"/>
      <c r="I36" s="23"/>
      <c r="J36" s="23"/>
      <c r="K36" s="23"/>
      <c r="L36" s="26" t="s">
        <v>10</v>
      </c>
      <c r="M36" t="s">
        <v>22</v>
      </c>
      <c r="N36" s="23"/>
      <c r="O36" s="23"/>
      <c r="P36" s="23"/>
      <c r="Q36" s="23"/>
      <c r="R36" s="26" t="s">
        <v>10</v>
      </c>
      <c r="S36" t="s">
        <v>22</v>
      </c>
      <c r="T36" s="23"/>
      <c r="U36" s="23"/>
      <c r="V36" s="23"/>
      <c r="W36" s="23"/>
      <c r="X36" s="26" t="s">
        <v>10</v>
      </c>
      <c r="Y36" t="s">
        <v>22</v>
      </c>
      <c r="Z36"/>
    </row>
    <row r="37" spans="5:30" x14ac:dyDescent="0.3">
      <c r="S37"/>
      <c r="V37" s="23"/>
      <c r="W37" s="23"/>
      <c r="X37" s="23"/>
      <c r="Y37"/>
      <c r="Z37"/>
      <c r="AA37" s="23"/>
      <c r="AB37" s="23"/>
    </row>
    <row r="38" spans="5:30" ht="28.8" x14ac:dyDescent="0.3">
      <c r="E38" s="23" t="s">
        <v>24</v>
      </c>
      <c r="F38" s="23" t="s">
        <v>20</v>
      </c>
      <c r="G38" s="23"/>
      <c r="H38" s="23"/>
      <c r="I38"/>
      <c r="J38" s="23"/>
      <c r="K38" s="23"/>
      <c r="L38" s="26" t="s">
        <v>23</v>
      </c>
      <c r="M38" t="s">
        <v>31</v>
      </c>
      <c r="N38"/>
      <c r="O38" s="23"/>
      <c r="P38" s="23"/>
      <c r="Q38" s="23"/>
      <c r="R38" s="26" t="s">
        <v>23</v>
      </c>
      <c r="S38" t="s">
        <v>34</v>
      </c>
      <c r="T38" t="s">
        <v>35</v>
      </c>
      <c r="U38"/>
      <c r="V38" s="23"/>
      <c r="W38" s="23"/>
      <c r="X38" s="26" t="s">
        <v>23</v>
      </c>
      <c r="Y38" t="s">
        <v>30</v>
      </c>
      <c r="Z38"/>
      <c r="AA38" s="23"/>
      <c r="AB38" s="23"/>
    </row>
    <row r="39" spans="5:30" ht="43.2" x14ac:dyDescent="0.3">
      <c r="E39" s="23" t="s">
        <v>23</v>
      </c>
      <c r="F39" s="23" t="s">
        <v>26</v>
      </c>
      <c r="G39" s="23" t="s">
        <v>25</v>
      </c>
      <c r="H39" s="23" t="s">
        <v>27</v>
      </c>
      <c r="I39"/>
      <c r="J39" s="23"/>
      <c r="K39" s="23"/>
      <c r="L39" s="27" t="s">
        <v>52</v>
      </c>
      <c r="M39" s="28">
        <v>10</v>
      </c>
      <c r="N39"/>
      <c r="O39" s="23"/>
      <c r="P39" s="23"/>
      <c r="Q39" s="23"/>
      <c r="R39" s="27" t="s">
        <v>52</v>
      </c>
      <c r="S39" s="28">
        <v>1000</v>
      </c>
      <c r="T39" s="28">
        <v>0</v>
      </c>
      <c r="U39"/>
      <c r="X39" s="27" t="s">
        <v>52</v>
      </c>
      <c r="Y39" s="28">
        <v>-1000</v>
      </c>
      <c r="Z39"/>
      <c r="AA39" s="23"/>
      <c r="AB39" s="23"/>
    </row>
    <row r="40" spans="5:30" x14ac:dyDescent="0.3">
      <c r="E40" s="24" t="s">
        <v>52</v>
      </c>
      <c r="F40" s="25">
        <v>12</v>
      </c>
      <c r="G40" s="25">
        <v>0</v>
      </c>
      <c r="H40" s="25">
        <v>0</v>
      </c>
      <c r="I40"/>
      <c r="J40" s="24"/>
      <c r="K40" s="24"/>
      <c r="L40" s="27" t="s">
        <v>53</v>
      </c>
      <c r="M40" s="28">
        <v>15</v>
      </c>
      <c r="N40"/>
      <c r="O40" s="24"/>
      <c r="P40" s="24"/>
      <c r="Q40" s="24"/>
      <c r="R40" s="27" t="s">
        <v>53</v>
      </c>
      <c r="S40" s="28">
        <v>3000</v>
      </c>
      <c r="T40" s="28">
        <v>4800</v>
      </c>
      <c r="U40"/>
      <c r="V40" s="23"/>
      <c r="W40" s="23"/>
      <c r="X40" s="27" t="s">
        <v>53</v>
      </c>
      <c r="Y40" s="28">
        <v>1800</v>
      </c>
      <c r="Z40"/>
      <c r="AA40" s="23"/>
      <c r="AB40" s="23"/>
    </row>
    <row r="41" spans="5:30" x14ac:dyDescent="0.3">
      <c r="E41" s="24" t="s">
        <v>53</v>
      </c>
      <c r="F41" s="25">
        <v>11</v>
      </c>
      <c r="G41" s="25">
        <v>0</v>
      </c>
      <c r="H41" s="25">
        <v>0</v>
      </c>
      <c r="I41"/>
      <c r="J41" s="24"/>
      <c r="K41" s="24"/>
      <c r="L41" s="27" t="s">
        <v>54</v>
      </c>
      <c r="M41" s="28">
        <v>0</v>
      </c>
      <c r="N41"/>
      <c r="O41" s="24"/>
      <c r="P41" s="24"/>
      <c r="Q41" s="24"/>
      <c r="R41" s="27" t="s">
        <v>54</v>
      </c>
      <c r="S41" s="28">
        <v>0</v>
      </c>
      <c r="T41" s="28">
        <v>10800</v>
      </c>
      <c r="U41"/>
      <c r="V41" s="23"/>
      <c r="W41" s="23"/>
      <c r="X41" s="27" t="s">
        <v>54</v>
      </c>
      <c r="Y41" s="28">
        <v>10800</v>
      </c>
      <c r="Z41"/>
      <c r="AA41"/>
      <c r="AB41"/>
      <c r="AC41"/>
    </row>
    <row r="42" spans="5:30" x14ac:dyDescent="0.3">
      <c r="E42" s="24" t="s">
        <v>54</v>
      </c>
      <c r="F42" s="25">
        <v>0</v>
      </c>
      <c r="G42" s="25">
        <v>-33</v>
      </c>
      <c r="H42" s="25">
        <v>0</v>
      </c>
      <c r="I42"/>
      <c r="J42" s="24"/>
      <c r="K42" s="24"/>
      <c r="L42" s="27" t="s">
        <v>55</v>
      </c>
      <c r="M42" s="28">
        <v>0</v>
      </c>
      <c r="N42"/>
      <c r="O42" s="24"/>
      <c r="P42" s="24"/>
      <c r="Q42" s="24"/>
      <c r="R42" s="27" t="s">
        <v>55</v>
      </c>
      <c r="S42" s="28">
        <v>0</v>
      </c>
      <c r="T42" s="28">
        <v>0</v>
      </c>
      <c r="U42"/>
      <c r="V42" s="25"/>
      <c r="W42" s="25"/>
      <c r="X42" s="27" t="s">
        <v>55</v>
      </c>
      <c r="Y42" s="28">
        <v>0</v>
      </c>
      <c r="Z42"/>
      <c r="AA42"/>
      <c r="AB42"/>
      <c r="AC42"/>
    </row>
    <row r="43" spans="5:30" x14ac:dyDescent="0.3">
      <c r="E43" s="24" t="s">
        <v>55</v>
      </c>
      <c r="F43" s="25">
        <v>13</v>
      </c>
      <c r="G43" s="25">
        <v>0</v>
      </c>
      <c r="H43" s="25">
        <v>0</v>
      </c>
      <c r="I43"/>
      <c r="J43" s="24"/>
      <c r="K43" s="24"/>
      <c r="L43" s="27" t="s">
        <v>56</v>
      </c>
      <c r="M43" s="28">
        <v>0</v>
      </c>
      <c r="N43"/>
      <c r="O43" s="24"/>
      <c r="P43" s="24"/>
      <c r="Q43" s="24"/>
      <c r="R43" s="27" t="s">
        <v>56</v>
      </c>
      <c r="S43" s="28">
        <v>0</v>
      </c>
      <c r="T43" s="28">
        <v>11500</v>
      </c>
      <c r="U43"/>
      <c r="V43" s="25"/>
      <c r="W43" s="25"/>
      <c r="X43" s="27" t="s">
        <v>56</v>
      </c>
      <c r="Y43" s="28">
        <v>11500</v>
      </c>
      <c r="Z43"/>
      <c r="AA43"/>
      <c r="AB43"/>
      <c r="AC43"/>
    </row>
    <row r="44" spans="5:30" x14ac:dyDescent="0.3">
      <c r="E44" s="24" t="s">
        <v>56</v>
      </c>
      <c r="F44" s="25">
        <v>0</v>
      </c>
      <c r="G44" s="25">
        <v>-3</v>
      </c>
      <c r="H44" s="25">
        <v>0</v>
      </c>
      <c r="I44"/>
      <c r="J44" s="24"/>
      <c r="K44" s="24"/>
      <c r="L44" s="27" t="s">
        <v>57</v>
      </c>
      <c r="M44" s="28">
        <v>0</v>
      </c>
      <c r="N44"/>
      <c r="O44" s="24"/>
      <c r="P44" s="24"/>
      <c r="Q44" s="24"/>
      <c r="R44" s="27" t="s">
        <v>57</v>
      </c>
      <c r="S44" s="28">
        <v>0</v>
      </c>
      <c r="T44" s="28">
        <v>0</v>
      </c>
      <c r="U44"/>
      <c r="V44" s="25"/>
      <c r="W44" s="25"/>
      <c r="X44" s="27" t="s">
        <v>57</v>
      </c>
      <c r="Y44" s="28">
        <v>0</v>
      </c>
      <c r="Z44"/>
      <c r="AA44"/>
      <c r="AB44"/>
      <c r="AC44"/>
    </row>
    <row r="45" spans="5:30" x14ac:dyDescent="0.3">
      <c r="E45" s="24" t="s">
        <v>57</v>
      </c>
      <c r="F45" s="25">
        <v>26</v>
      </c>
      <c r="G45" s="25">
        <v>0</v>
      </c>
      <c r="H45" s="25">
        <v>0</v>
      </c>
      <c r="I45"/>
      <c r="J45" s="24"/>
      <c r="K45" s="24"/>
      <c r="L45" s="27" t="s">
        <v>58</v>
      </c>
      <c r="M45" s="28">
        <v>0</v>
      </c>
      <c r="N45"/>
      <c r="O45" s="24"/>
      <c r="P45" s="24"/>
      <c r="Q45" s="24"/>
      <c r="R45" s="27" t="s">
        <v>58</v>
      </c>
      <c r="S45" s="28">
        <v>0</v>
      </c>
      <c r="T45" s="28">
        <v>10500</v>
      </c>
      <c r="U45"/>
      <c r="V45" s="25"/>
      <c r="W45" s="25"/>
      <c r="X45" s="27" t="s">
        <v>58</v>
      </c>
      <c r="Y45" s="28">
        <v>10500</v>
      </c>
      <c r="Z45"/>
      <c r="AA45"/>
      <c r="AB45"/>
      <c r="AC45"/>
    </row>
    <row r="46" spans="5:30" x14ac:dyDescent="0.3">
      <c r="E46" s="24" t="s">
        <v>58</v>
      </c>
      <c r="F46" s="25">
        <v>14</v>
      </c>
      <c r="G46" s="25">
        <v>0</v>
      </c>
      <c r="H46" s="25">
        <v>0</v>
      </c>
      <c r="I46"/>
      <c r="J46" s="24"/>
      <c r="K46" s="24"/>
      <c r="L46" s="27" t="s">
        <v>59</v>
      </c>
      <c r="M46" s="28">
        <v>0</v>
      </c>
      <c r="N46"/>
      <c r="O46" s="24"/>
      <c r="P46" s="24"/>
      <c r="Q46" s="24"/>
      <c r="R46" s="27" t="s">
        <v>59</v>
      </c>
      <c r="S46" s="28">
        <v>0</v>
      </c>
      <c r="T46" s="28">
        <v>0</v>
      </c>
      <c r="U46"/>
      <c r="V46" s="25"/>
      <c r="W46" s="25"/>
      <c r="X46" s="27" t="s">
        <v>59</v>
      </c>
      <c r="Y46" s="28">
        <v>0</v>
      </c>
      <c r="Z46"/>
      <c r="AA46"/>
      <c r="AB46"/>
      <c r="AC46"/>
    </row>
    <row r="47" spans="5:30" x14ac:dyDescent="0.3">
      <c r="E47" s="24" t="s">
        <v>59</v>
      </c>
      <c r="F47" s="25">
        <v>24</v>
      </c>
      <c r="G47" s="25">
        <v>0</v>
      </c>
      <c r="H47" s="25">
        <v>0</v>
      </c>
      <c r="I47"/>
      <c r="J47" s="24"/>
      <c r="K47" s="24"/>
      <c r="L47" s="27" t="s">
        <v>60</v>
      </c>
      <c r="M47" s="28">
        <v>15</v>
      </c>
      <c r="N47"/>
      <c r="O47" s="24"/>
      <c r="P47" s="24"/>
      <c r="Q47" s="24"/>
      <c r="R47" s="27" t="s">
        <v>60</v>
      </c>
      <c r="S47" s="28">
        <v>13500</v>
      </c>
      <c r="T47" s="28">
        <v>0</v>
      </c>
      <c r="U47"/>
      <c r="X47" s="27" t="s">
        <v>60</v>
      </c>
      <c r="Y47" s="28">
        <v>-13500</v>
      </c>
      <c r="Z47"/>
      <c r="AA47"/>
      <c r="AB47"/>
      <c r="AC47"/>
    </row>
    <row r="48" spans="5:30" x14ac:dyDescent="0.3">
      <c r="E48" s="24" t="s">
        <v>60</v>
      </c>
      <c r="F48" s="25">
        <v>36</v>
      </c>
      <c r="G48" s="25">
        <v>0</v>
      </c>
      <c r="H48" s="25">
        <v>0</v>
      </c>
      <c r="I48"/>
      <c r="J48" s="24"/>
      <c r="K48" s="24"/>
      <c r="L48" s="27" t="s">
        <v>61</v>
      </c>
      <c r="M48" s="28">
        <v>0</v>
      </c>
      <c r="N48"/>
      <c r="O48" s="24"/>
      <c r="P48" s="24"/>
      <c r="Q48" s="24"/>
      <c r="R48" s="27" t="s">
        <v>61</v>
      </c>
      <c r="S48" s="28">
        <v>0</v>
      </c>
      <c r="T48" s="28">
        <v>200</v>
      </c>
      <c r="U48"/>
      <c r="X48" s="27" t="s">
        <v>61</v>
      </c>
      <c r="Y48" s="28">
        <v>200</v>
      </c>
      <c r="Z48"/>
      <c r="AA48"/>
      <c r="AB48"/>
      <c r="AC48"/>
    </row>
    <row r="49" spans="5:29" x14ac:dyDescent="0.3">
      <c r="E49" s="24" t="s">
        <v>61</v>
      </c>
      <c r="F49" s="25">
        <v>0</v>
      </c>
      <c r="G49" s="25">
        <v>0</v>
      </c>
      <c r="H49" s="25">
        <v>2</v>
      </c>
      <c r="I49"/>
      <c r="J49" s="24"/>
      <c r="K49" s="24"/>
      <c r="L49" s="27" t="s">
        <v>62</v>
      </c>
      <c r="M49" s="28">
        <v>0</v>
      </c>
      <c r="N49"/>
      <c r="O49" s="24"/>
      <c r="P49" s="24"/>
      <c r="Q49" s="24"/>
      <c r="R49" s="27" t="s">
        <v>62</v>
      </c>
      <c r="S49" s="28">
        <v>0</v>
      </c>
      <c r="T49" s="28">
        <v>0</v>
      </c>
      <c r="X49" s="27" t="s">
        <v>62</v>
      </c>
      <c r="Y49" s="28">
        <v>0</v>
      </c>
      <c r="Z49"/>
      <c r="AA49"/>
      <c r="AB49"/>
      <c r="AC49"/>
    </row>
    <row r="50" spans="5:29" x14ac:dyDescent="0.3">
      <c r="E50" s="24" t="s">
        <v>62</v>
      </c>
      <c r="F50" s="25">
        <v>24</v>
      </c>
      <c r="G50" s="25">
        <v>0</v>
      </c>
      <c r="H50" s="25">
        <v>0</v>
      </c>
      <c r="I50"/>
      <c r="J50" s="24"/>
      <c r="K50" s="24"/>
      <c r="L50" s="27" t="s">
        <v>63</v>
      </c>
      <c r="M50" s="28">
        <v>0</v>
      </c>
      <c r="N50"/>
      <c r="O50" s="24"/>
      <c r="P50" s="24"/>
      <c r="Q50" s="24"/>
      <c r="R50" s="27" t="s">
        <v>63</v>
      </c>
      <c r="S50" s="28">
        <v>0</v>
      </c>
      <c r="T50" s="28">
        <v>1500</v>
      </c>
      <c r="X50" s="27" t="s">
        <v>63</v>
      </c>
      <c r="Y50" s="28">
        <v>1500</v>
      </c>
      <c r="Z50"/>
      <c r="AA50"/>
      <c r="AB50"/>
      <c r="AC50"/>
    </row>
    <row r="51" spans="5:29" x14ac:dyDescent="0.3">
      <c r="E51" s="24" t="s">
        <v>63</v>
      </c>
      <c r="F51" s="25">
        <v>0</v>
      </c>
      <c r="G51" s="25">
        <v>0</v>
      </c>
      <c r="H51" s="25">
        <v>0</v>
      </c>
      <c r="I51"/>
      <c r="J51" s="24"/>
      <c r="K51" s="24"/>
      <c r="L51" s="27" t="s">
        <v>64</v>
      </c>
      <c r="M51" s="28">
        <v>0</v>
      </c>
      <c r="N51"/>
      <c r="O51" s="24"/>
      <c r="P51" s="24"/>
      <c r="Q51" s="24"/>
      <c r="R51" s="27" t="s">
        <v>64</v>
      </c>
      <c r="S51" s="28">
        <v>0</v>
      </c>
      <c r="T51" s="28">
        <v>0</v>
      </c>
      <c r="X51" s="27" t="s">
        <v>64</v>
      </c>
      <c r="Y51" s="28">
        <v>0</v>
      </c>
      <c r="Z51"/>
      <c r="AA51"/>
      <c r="AB51"/>
      <c r="AC51"/>
    </row>
    <row r="52" spans="5:29" x14ac:dyDescent="0.3">
      <c r="E52" s="24" t="s">
        <v>64</v>
      </c>
      <c r="F52" s="25">
        <v>10</v>
      </c>
      <c r="G52" s="25">
        <v>0</v>
      </c>
      <c r="H52" s="25">
        <v>0</v>
      </c>
      <c r="I52"/>
      <c r="J52" s="24"/>
      <c r="K52" s="24"/>
      <c r="L52" s="27" t="s">
        <v>65</v>
      </c>
      <c r="M52" s="28">
        <v>0</v>
      </c>
      <c r="N52"/>
      <c r="O52" s="24"/>
      <c r="P52" s="24"/>
      <c r="Q52" s="24"/>
      <c r="R52" s="27" t="s">
        <v>65</v>
      </c>
      <c r="S52" s="28">
        <v>0</v>
      </c>
      <c r="T52" s="28">
        <v>0</v>
      </c>
      <c r="X52" s="27" t="s">
        <v>65</v>
      </c>
      <c r="Y52" s="28">
        <v>0</v>
      </c>
      <c r="Z52"/>
    </row>
    <row r="53" spans="5:29" x14ac:dyDescent="0.3">
      <c r="E53" s="24" t="s">
        <v>65</v>
      </c>
      <c r="F53" s="25">
        <v>20</v>
      </c>
      <c r="G53" s="25">
        <v>0</v>
      </c>
      <c r="H53" s="25">
        <v>0</v>
      </c>
      <c r="I53"/>
      <c r="J53" s="24"/>
      <c r="K53" s="24"/>
      <c r="L53" s="27" t="s">
        <v>66</v>
      </c>
      <c r="M53" s="28">
        <v>0</v>
      </c>
      <c r="N53"/>
      <c r="O53" s="24"/>
      <c r="P53" s="24"/>
      <c r="Q53" s="24"/>
      <c r="R53" s="27" t="s">
        <v>66</v>
      </c>
      <c r="S53" s="28">
        <v>0</v>
      </c>
      <c r="T53" s="28">
        <v>0</v>
      </c>
      <c r="X53" s="27" t="s">
        <v>66</v>
      </c>
      <c r="Y53" s="28">
        <v>0</v>
      </c>
      <c r="Z53"/>
    </row>
    <row r="54" spans="5:29" x14ac:dyDescent="0.3">
      <c r="E54" s="24" t="s">
        <v>66</v>
      </c>
      <c r="F54" s="25">
        <v>26</v>
      </c>
      <c r="G54" s="25">
        <v>0</v>
      </c>
      <c r="H54" s="25">
        <v>0</v>
      </c>
      <c r="I54"/>
      <c r="J54" s="24"/>
      <c r="K54" s="24"/>
      <c r="L54" s="27" t="s">
        <v>67</v>
      </c>
      <c r="M54" s="28">
        <v>6</v>
      </c>
      <c r="N54"/>
      <c r="O54" s="24"/>
      <c r="P54" s="24"/>
      <c r="Q54" s="24"/>
      <c r="R54" s="27" t="s">
        <v>67</v>
      </c>
      <c r="S54" s="28">
        <v>1800</v>
      </c>
      <c r="T54" s="28">
        <v>0</v>
      </c>
      <c r="X54" s="27" t="s">
        <v>67</v>
      </c>
      <c r="Y54" s="28">
        <v>-1800</v>
      </c>
      <c r="Z54"/>
    </row>
    <row r="55" spans="5:29" x14ac:dyDescent="0.3">
      <c r="E55" s="24" t="s">
        <v>67</v>
      </c>
      <c r="F55" s="25">
        <v>35</v>
      </c>
      <c r="G55" s="25">
        <v>0</v>
      </c>
      <c r="H55" s="25">
        <v>0</v>
      </c>
      <c r="I55"/>
      <c r="J55" s="24"/>
      <c r="K55" s="24"/>
      <c r="L55" s="27" t="s">
        <v>68</v>
      </c>
      <c r="M55" s="28">
        <v>0</v>
      </c>
      <c r="N55"/>
      <c r="O55" s="24"/>
      <c r="P55" s="24"/>
      <c r="Q55" s="24"/>
      <c r="R55" s="27" t="s">
        <v>68</v>
      </c>
      <c r="S55" s="28">
        <v>0</v>
      </c>
      <c r="T55" s="28">
        <v>0</v>
      </c>
      <c r="X55" s="27" t="s">
        <v>68</v>
      </c>
      <c r="Y55" s="28">
        <v>0</v>
      </c>
      <c r="Z55"/>
    </row>
    <row r="56" spans="5:29" x14ac:dyDescent="0.3">
      <c r="E56" s="24" t="s">
        <v>68</v>
      </c>
      <c r="F56" s="25">
        <v>24</v>
      </c>
      <c r="G56" s="25">
        <v>0</v>
      </c>
      <c r="H56" s="25">
        <v>0</v>
      </c>
      <c r="I56"/>
      <c r="J56" s="24"/>
      <c r="K56" s="24"/>
      <c r="L56" s="27" t="s">
        <v>69</v>
      </c>
      <c r="M56" s="28">
        <v>0</v>
      </c>
      <c r="N56"/>
      <c r="O56" s="24"/>
      <c r="P56" s="24"/>
      <c r="Q56" s="24"/>
      <c r="R56" s="27" t="s">
        <v>69</v>
      </c>
      <c r="S56" s="28">
        <v>0</v>
      </c>
      <c r="T56" s="28">
        <v>5500</v>
      </c>
      <c r="X56" s="27" t="s">
        <v>69</v>
      </c>
      <c r="Y56" s="28">
        <v>5500</v>
      </c>
    </row>
    <row r="57" spans="5:29" x14ac:dyDescent="0.3">
      <c r="E57" s="24" t="s">
        <v>69</v>
      </c>
      <c r="F57" s="25">
        <v>9</v>
      </c>
      <c r="G57" s="25">
        <v>0</v>
      </c>
      <c r="H57" s="25">
        <v>0</v>
      </c>
      <c r="I57"/>
      <c r="J57" s="24"/>
      <c r="K57" s="24"/>
      <c r="L57" s="27" t="s">
        <v>70</v>
      </c>
      <c r="M57" s="28">
        <v>0</v>
      </c>
      <c r="N57"/>
      <c r="O57" s="24"/>
      <c r="P57" s="24"/>
      <c r="Q57" s="24"/>
      <c r="R57" s="27" t="s">
        <v>70</v>
      </c>
      <c r="S57" s="28">
        <v>0</v>
      </c>
      <c r="T57" s="28">
        <v>0</v>
      </c>
      <c r="X57" s="27" t="s">
        <v>70</v>
      </c>
      <c r="Y57" s="28">
        <v>0</v>
      </c>
    </row>
    <row r="58" spans="5:29" x14ac:dyDescent="0.3">
      <c r="E58" s="24" t="s">
        <v>70</v>
      </c>
      <c r="F58" s="25">
        <v>26</v>
      </c>
      <c r="G58" s="25">
        <v>0</v>
      </c>
      <c r="H58" s="25">
        <v>0</v>
      </c>
      <c r="I58"/>
      <c r="J58" s="24"/>
      <c r="K58" s="24"/>
      <c r="L58" s="27" t="s">
        <v>21</v>
      </c>
      <c r="M58" s="28">
        <v>46</v>
      </c>
      <c r="N58"/>
      <c r="O58" s="24"/>
      <c r="P58" s="24"/>
      <c r="Q58" s="24"/>
      <c r="R58" s="27" t="s">
        <v>21</v>
      </c>
      <c r="S58" s="28">
        <v>19300</v>
      </c>
      <c r="T58" s="28">
        <v>44800</v>
      </c>
      <c r="X58" s="27" t="s">
        <v>21</v>
      </c>
      <c r="Y58" s="28">
        <v>25500</v>
      </c>
    </row>
    <row r="59" spans="5:29" x14ac:dyDescent="0.3">
      <c r="E59" s="24" t="s">
        <v>21</v>
      </c>
      <c r="F59" s="25">
        <v>310</v>
      </c>
      <c r="G59" s="25">
        <v>-36</v>
      </c>
      <c r="H59" s="25">
        <v>2</v>
      </c>
      <c r="I59"/>
      <c r="J59" s="24"/>
      <c r="K59" s="24"/>
      <c r="L59"/>
      <c r="M59"/>
      <c r="N59"/>
      <c r="O59" s="24"/>
      <c r="P59" s="24"/>
      <c r="Q59" s="24"/>
      <c r="R59"/>
      <c r="S59"/>
      <c r="T59"/>
      <c r="X59"/>
      <c r="Y59"/>
    </row>
    <row r="60" spans="5:29" x14ac:dyDescent="0.3">
      <c r="E60"/>
      <c r="F60"/>
      <c r="G60"/>
      <c r="H60"/>
      <c r="I60"/>
      <c r="J60"/>
      <c r="K60"/>
      <c r="L60"/>
      <c r="M60"/>
      <c r="N60"/>
      <c r="O60"/>
      <c r="P60"/>
      <c r="Q60"/>
      <c r="R60"/>
      <c r="S60"/>
    </row>
    <row r="61" spans="5:29" x14ac:dyDescent="0.3">
      <c r="E61"/>
      <c r="F61"/>
      <c r="G61"/>
      <c r="H61"/>
      <c r="I61"/>
      <c r="R61"/>
      <c r="S61" s="50">
        <f>GETPIVOTDATA($R$38,"sum of purchase $")</f>
        <v>19300</v>
      </c>
      <c r="T61" s="51">
        <f>GETPIVOTDATA($R$38,"sum of sale $")</f>
        <v>44800</v>
      </c>
      <c r="Y61" s="50">
        <f>GETPIVOTDATA($X$38,"grand total")</f>
        <v>25500</v>
      </c>
    </row>
    <row r="62" spans="5:29" x14ac:dyDescent="0.3">
      <c r="E62"/>
      <c r="F62"/>
      <c r="G62"/>
      <c r="H62"/>
      <c r="I62"/>
      <c r="R62"/>
      <c r="S62"/>
    </row>
    <row r="63" spans="5:29" x14ac:dyDescent="0.3">
      <c r="E63"/>
      <c r="F63"/>
      <c r="G63"/>
      <c r="H63"/>
      <c r="I63"/>
      <c r="R63"/>
      <c r="S63"/>
    </row>
    <row r="64" spans="5:29" x14ac:dyDescent="0.3">
      <c r="E64"/>
      <c r="F64"/>
      <c r="G64"/>
      <c r="H64"/>
      <c r="I64"/>
      <c r="R64"/>
      <c r="S64"/>
    </row>
    <row r="65" spans="5:19" x14ac:dyDescent="0.3">
      <c r="E65"/>
      <c r="F65"/>
      <c r="G65"/>
      <c r="H65"/>
      <c r="I65"/>
      <c r="R65"/>
      <c r="S65"/>
    </row>
    <row r="66" spans="5:19" x14ac:dyDescent="0.3">
      <c r="E66"/>
      <c r="F66"/>
      <c r="G66"/>
      <c r="H66"/>
      <c r="I66"/>
      <c r="R66"/>
      <c r="S66"/>
    </row>
    <row r="67" spans="5:19" x14ac:dyDescent="0.3">
      <c r="E67"/>
      <c r="F67"/>
      <c r="G67"/>
      <c r="H67"/>
      <c r="I67"/>
      <c r="R67"/>
      <c r="S67"/>
    </row>
    <row r="68" spans="5:19" x14ac:dyDescent="0.3">
      <c r="E68"/>
      <c r="F68"/>
      <c r="G68"/>
      <c r="H68"/>
      <c r="I68"/>
      <c r="R68"/>
      <c r="S68"/>
    </row>
    <row r="69" spans="5:19" x14ac:dyDescent="0.3">
      <c r="E69"/>
      <c r="F69"/>
      <c r="G69"/>
      <c r="H69"/>
      <c r="I69"/>
      <c r="R69"/>
      <c r="S69"/>
    </row>
    <row r="70" spans="5:19" x14ac:dyDescent="0.3">
      <c r="E70"/>
      <c r="F70"/>
      <c r="G70"/>
      <c r="H70"/>
      <c r="I70"/>
      <c r="R70"/>
      <c r="S70"/>
    </row>
    <row r="71" spans="5:19" x14ac:dyDescent="0.3">
      <c r="E71"/>
      <c r="F71"/>
      <c r="G71"/>
      <c r="H71"/>
      <c r="I71"/>
      <c r="R71"/>
      <c r="S71"/>
    </row>
    <row r="72" spans="5:19" x14ac:dyDescent="0.3">
      <c r="E72"/>
      <c r="F72"/>
      <c r="G72"/>
      <c r="H72"/>
      <c r="I72"/>
      <c r="R72"/>
      <c r="S72"/>
    </row>
    <row r="73" spans="5:19" x14ac:dyDescent="0.3">
      <c r="E73"/>
      <c r="F73"/>
      <c r="G73"/>
      <c r="H73"/>
      <c r="I73"/>
      <c r="R73"/>
      <c r="S73"/>
    </row>
    <row r="74" spans="5:19" x14ac:dyDescent="0.3">
      <c r="E74"/>
      <c r="F74"/>
      <c r="G74"/>
      <c r="H74"/>
      <c r="I74"/>
      <c r="R74"/>
      <c r="S74"/>
    </row>
    <row r="75" spans="5:19" x14ac:dyDescent="0.3">
      <c r="E75"/>
      <c r="F75"/>
      <c r="G75"/>
      <c r="H75"/>
      <c r="I75"/>
      <c r="R75"/>
      <c r="S75"/>
    </row>
    <row r="76" spans="5:19" x14ac:dyDescent="0.3">
      <c r="E76"/>
      <c r="F76"/>
      <c r="G76"/>
      <c r="H76"/>
      <c r="I76"/>
      <c r="R76"/>
      <c r="S76"/>
    </row>
    <row r="77" spans="5:19" x14ac:dyDescent="0.3">
      <c r="E77"/>
      <c r="F77"/>
      <c r="G77"/>
      <c r="H77"/>
      <c r="I77"/>
      <c r="R77"/>
      <c r="S77"/>
    </row>
    <row r="78" spans="5:19" x14ac:dyDescent="0.3">
      <c r="E78"/>
      <c r="F78"/>
      <c r="G78"/>
      <c r="H78"/>
      <c r="I78"/>
      <c r="R78"/>
      <c r="S78"/>
    </row>
    <row r="79" spans="5:19" x14ac:dyDescent="0.3">
      <c r="E79"/>
      <c r="F79"/>
      <c r="G79"/>
      <c r="H79"/>
      <c r="I79"/>
      <c r="R79"/>
      <c r="S79"/>
    </row>
    <row r="80" spans="5:19" x14ac:dyDescent="0.3">
      <c r="E80"/>
      <c r="F80"/>
      <c r="G80"/>
      <c r="H80"/>
      <c r="I80"/>
      <c r="R80"/>
    </row>
    <row r="81" spans="5:18" x14ac:dyDescent="0.3">
      <c r="E81"/>
      <c r="F81"/>
      <c r="G81"/>
      <c r="H81"/>
      <c r="I81"/>
      <c r="R81"/>
    </row>
    <row r="82" spans="5:18" x14ac:dyDescent="0.3">
      <c r="E82"/>
      <c r="F82"/>
      <c r="G82"/>
      <c r="H82"/>
      <c r="I82"/>
      <c r="R82"/>
    </row>
    <row r="83" spans="5:18" x14ac:dyDescent="0.3">
      <c r="E83"/>
      <c r="F83"/>
      <c r="G83"/>
      <c r="H83"/>
      <c r="I83"/>
      <c r="R83"/>
    </row>
    <row r="84" spans="5:18" x14ac:dyDescent="0.3">
      <c r="E84"/>
      <c r="F84"/>
      <c r="G84"/>
      <c r="H84"/>
      <c r="I84"/>
      <c r="R84"/>
    </row>
    <row r="85" spans="5:18" x14ac:dyDescent="0.3">
      <c r="E85"/>
      <c r="F85"/>
      <c r="G85"/>
      <c r="H85"/>
      <c r="I85"/>
      <c r="R85"/>
    </row>
    <row r="86" spans="5:18" x14ac:dyDescent="0.3">
      <c r="E86"/>
      <c r="F86"/>
      <c r="G86"/>
      <c r="H86"/>
      <c r="I86"/>
      <c r="R86"/>
    </row>
    <row r="87" spans="5:18" x14ac:dyDescent="0.3">
      <c r="E87"/>
      <c r="F87"/>
      <c r="G87"/>
      <c r="H87"/>
      <c r="I87"/>
      <c r="R87"/>
    </row>
    <row r="88" spans="5:18" x14ac:dyDescent="0.3">
      <c r="E88"/>
      <c r="F88"/>
      <c r="G88"/>
      <c r="H88"/>
      <c r="I88"/>
      <c r="R88"/>
    </row>
    <row r="89" spans="5:18" x14ac:dyDescent="0.3">
      <c r="E89"/>
      <c r="F89"/>
      <c r="G89"/>
      <c r="H89"/>
      <c r="I89"/>
      <c r="R89"/>
    </row>
    <row r="90" spans="5:18" x14ac:dyDescent="0.3">
      <c r="E90"/>
      <c r="F90"/>
      <c r="G90"/>
      <c r="H90"/>
      <c r="I90"/>
      <c r="R90"/>
    </row>
    <row r="91" spans="5:18" x14ac:dyDescent="0.3">
      <c r="E91"/>
      <c r="F91"/>
      <c r="G91"/>
      <c r="H91"/>
      <c r="I91"/>
      <c r="R91"/>
    </row>
    <row r="92" spans="5:18" x14ac:dyDescent="0.3">
      <c r="E92"/>
      <c r="F92"/>
      <c r="G92"/>
      <c r="H92"/>
      <c r="I92"/>
      <c r="R92"/>
    </row>
    <row r="93" spans="5:18" x14ac:dyDescent="0.3">
      <c r="E93"/>
      <c r="F93"/>
      <c r="G93"/>
      <c r="H93"/>
      <c r="I93"/>
      <c r="R93"/>
    </row>
    <row r="94" spans="5:18" x14ac:dyDescent="0.3">
      <c r="E94"/>
      <c r="F94"/>
      <c r="G94"/>
      <c r="H94"/>
      <c r="I94"/>
      <c r="R94"/>
    </row>
    <row r="95" spans="5:18" x14ac:dyDescent="0.3">
      <c r="E95"/>
      <c r="F95"/>
      <c r="G95"/>
      <c r="H95"/>
      <c r="I95"/>
      <c r="R95"/>
    </row>
    <row r="96" spans="5:18" x14ac:dyDescent="0.3">
      <c r="E96"/>
      <c r="F96"/>
      <c r="G96"/>
      <c r="H96"/>
      <c r="I96"/>
      <c r="R96"/>
    </row>
    <row r="97" spans="5:18" x14ac:dyDescent="0.3">
      <c r="E97"/>
      <c r="F97"/>
      <c r="G97"/>
      <c r="H97"/>
      <c r="I97"/>
      <c r="R97"/>
    </row>
    <row r="98" spans="5:18" x14ac:dyDescent="0.3">
      <c r="E98"/>
      <c r="F98"/>
      <c r="G98"/>
      <c r="H98"/>
      <c r="I98"/>
      <c r="R98"/>
    </row>
    <row r="99" spans="5:18" x14ac:dyDescent="0.3">
      <c r="E99"/>
      <c r="F99"/>
      <c r="G99"/>
      <c r="H99"/>
      <c r="I99"/>
      <c r="R99"/>
    </row>
    <row r="100" spans="5:18" x14ac:dyDescent="0.3">
      <c r="E100"/>
      <c r="F100"/>
      <c r="G100"/>
      <c r="H100"/>
      <c r="I100"/>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24B6B-75BB-4356-87FE-06EF2324F2C5}">
  <sheetPr codeName="Sheet4"/>
  <dimension ref="A1:F34"/>
  <sheetViews>
    <sheetView workbookViewId="0">
      <selection activeCell="F10" sqref="F10"/>
    </sheetView>
  </sheetViews>
  <sheetFormatPr defaultRowHeight="14.4" x14ac:dyDescent="0.3"/>
  <cols>
    <col min="1" max="1" width="1.77734375" style="22" customWidth="1"/>
    <col min="2" max="2" width="25.77734375" style="22" customWidth="1"/>
    <col min="3" max="3" width="1.77734375" style="39" customWidth="1"/>
    <col min="4" max="5" width="17.77734375" style="4" customWidth="1"/>
    <col min="6" max="6" width="14" style="4" bestFit="1" customWidth="1"/>
    <col min="7" max="16384" width="8.88671875" style="4"/>
  </cols>
  <sheetData>
    <row r="1" spans="1:6" ht="15" thickBot="1" x14ac:dyDescent="0.35">
      <c r="A1" s="20"/>
      <c r="B1" s="20"/>
      <c r="C1" s="20"/>
      <c r="D1" s="20"/>
    </row>
    <row r="2" spans="1:6" ht="15" thickBot="1" x14ac:dyDescent="0.35">
      <c r="A2" s="20"/>
      <c r="B2" s="35"/>
      <c r="C2" s="40"/>
      <c r="D2" s="38" t="s">
        <v>1</v>
      </c>
      <c r="E2" s="31" t="s">
        <v>2</v>
      </c>
      <c r="F2" s="31" t="s">
        <v>36</v>
      </c>
    </row>
    <row r="3" spans="1:6" ht="15" thickBot="1" x14ac:dyDescent="0.35">
      <c r="A3" s="20"/>
      <c r="B3" s="36"/>
      <c r="D3" s="30" t="s">
        <v>3</v>
      </c>
      <c r="E3" s="15" t="s">
        <v>6</v>
      </c>
      <c r="F3" s="15" t="s">
        <v>37</v>
      </c>
    </row>
    <row r="4" spans="1:6" ht="15" thickBot="1" x14ac:dyDescent="0.35">
      <c r="A4" s="20"/>
      <c r="B4" s="36"/>
      <c r="D4" s="30" t="s">
        <v>4</v>
      </c>
      <c r="E4" s="15" t="s">
        <v>7</v>
      </c>
      <c r="F4" s="15" t="s">
        <v>41</v>
      </c>
    </row>
    <row r="5" spans="1:6" ht="15" thickBot="1" x14ac:dyDescent="0.35">
      <c r="A5" s="20"/>
      <c r="B5" s="36"/>
      <c r="D5" s="30" t="s">
        <v>5</v>
      </c>
      <c r="E5" s="15" t="s">
        <v>36</v>
      </c>
      <c r="F5" s="15" t="s">
        <v>38</v>
      </c>
    </row>
    <row r="6" spans="1:6" ht="15" thickBot="1" x14ac:dyDescent="0.35">
      <c r="A6" s="20"/>
      <c r="B6" s="36"/>
      <c r="D6" s="11"/>
      <c r="E6" s="11"/>
      <c r="F6" s="15" t="s">
        <v>39</v>
      </c>
    </row>
    <row r="7" spans="1:6" ht="15" thickBot="1" x14ac:dyDescent="0.35">
      <c r="A7" s="20"/>
      <c r="B7" s="36"/>
      <c r="D7" s="11"/>
      <c r="E7" s="11"/>
      <c r="F7" s="15" t="s">
        <v>40</v>
      </c>
    </row>
    <row r="8" spans="1:6" x14ac:dyDescent="0.3">
      <c r="A8" s="20"/>
      <c r="B8" s="36"/>
      <c r="D8" s="11"/>
      <c r="E8" s="11"/>
    </row>
    <row r="9" spans="1:6" x14ac:dyDescent="0.3">
      <c r="A9" s="20"/>
      <c r="B9" s="36"/>
      <c r="D9" s="11"/>
      <c r="E9" s="11"/>
    </row>
    <row r="10" spans="1:6" x14ac:dyDescent="0.3">
      <c r="A10" s="20"/>
      <c r="B10" s="36"/>
      <c r="D10" s="11"/>
      <c r="E10" s="11"/>
    </row>
    <row r="11" spans="1:6" x14ac:dyDescent="0.3">
      <c r="A11" s="20"/>
      <c r="B11" s="36"/>
      <c r="D11" s="11"/>
      <c r="E11" s="11"/>
    </row>
    <row r="12" spans="1:6" x14ac:dyDescent="0.3">
      <c r="A12" s="20"/>
      <c r="B12" s="36"/>
      <c r="D12" s="11"/>
      <c r="E12" s="11"/>
    </row>
    <row r="13" spans="1:6" x14ac:dyDescent="0.3">
      <c r="A13" s="20"/>
      <c r="B13" s="36"/>
    </row>
    <row r="14" spans="1:6" x14ac:dyDescent="0.3">
      <c r="A14" s="20"/>
      <c r="B14" s="36"/>
    </row>
    <row r="15" spans="1:6" x14ac:dyDescent="0.3">
      <c r="A15" s="20"/>
      <c r="B15" s="36"/>
    </row>
    <row r="16" spans="1:6" x14ac:dyDescent="0.3">
      <c r="A16" s="20"/>
      <c r="B16" s="36"/>
    </row>
    <row r="17" spans="1:2" x14ac:dyDescent="0.3">
      <c r="A17" s="20"/>
      <c r="B17" s="36"/>
    </row>
    <row r="18" spans="1:2" x14ac:dyDescent="0.3">
      <c r="A18" s="20"/>
      <c r="B18" s="36"/>
    </row>
    <row r="19" spans="1:2" x14ac:dyDescent="0.3">
      <c r="A19" s="20"/>
      <c r="B19" s="36"/>
    </row>
    <row r="20" spans="1:2" x14ac:dyDescent="0.3">
      <c r="A20" s="20"/>
      <c r="B20" s="36"/>
    </row>
    <row r="21" spans="1:2" x14ac:dyDescent="0.3">
      <c r="A21" s="20"/>
      <c r="B21" s="36"/>
    </row>
    <row r="22" spans="1:2" x14ac:dyDescent="0.3">
      <c r="A22" s="20"/>
      <c r="B22" s="36"/>
    </row>
    <row r="23" spans="1:2" x14ac:dyDescent="0.3">
      <c r="A23" s="20"/>
      <c r="B23" s="36"/>
    </row>
    <row r="24" spans="1:2" x14ac:dyDescent="0.3">
      <c r="A24" s="20"/>
      <c r="B24" s="36"/>
    </row>
    <row r="25" spans="1:2" x14ac:dyDescent="0.3">
      <c r="A25" s="20"/>
      <c r="B25" s="36"/>
    </row>
    <row r="26" spans="1:2" x14ac:dyDescent="0.3">
      <c r="A26" s="20"/>
      <c r="B26" s="36"/>
    </row>
    <row r="27" spans="1:2" ht="15" thickBot="1" x14ac:dyDescent="0.35">
      <c r="A27" s="20"/>
      <c r="B27" s="37"/>
    </row>
    <row r="28" spans="1:2" x14ac:dyDescent="0.3">
      <c r="A28" s="20"/>
      <c r="B28" s="20"/>
    </row>
    <row r="29" spans="1:2" x14ac:dyDescent="0.3">
      <c r="A29" s="20"/>
      <c r="B29" s="20"/>
    </row>
    <row r="30" spans="1:2" x14ac:dyDescent="0.3">
      <c r="A30" s="20"/>
      <c r="B30" s="20"/>
    </row>
    <row r="31" spans="1:2" x14ac:dyDescent="0.3">
      <c r="A31" s="20"/>
      <c r="B31" s="20"/>
    </row>
    <row r="32" spans="1:2" x14ac:dyDescent="0.3">
      <c r="A32" s="20"/>
      <c r="B32" s="20"/>
    </row>
    <row r="33" spans="1:2" x14ac:dyDescent="0.3">
      <c r="A33" s="21"/>
      <c r="B33" s="21"/>
    </row>
    <row r="34" spans="1:2" x14ac:dyDescent="0.3">
      <c r="B34" s="21"/>
    </row>
  </sheetData>
  <phoneticPr fontId="1"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6CB7D75-0EF5-4B6A-9132-E6ACF771B0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entry</vt:lpstr>
      <vt:lpstr>Stocks sheet</vt:lpstr>
      <vt:lpstr>Dashboard</vt:lpstr>
      <vt:lpstr>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Home</dc:creator>
  <cp:lastModifiedBy>Home</cp:lastModifiedBy>
  <dcterms:created xsi:type="dcterms:W3CDTF">2015-06-05T18:17:20Z</dcterms:created>
  <dcterms:modified xsi:type="dcterms:W3CDTF">2022-10-12T05:32:50Z</dcterms:modified>
</cp:coreProperties>
</file>